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tro" sheetId="1" state="visible" r:id="rId3"/>
    <sheet name="Completo #1" sheetId="2" state="visible" r:id="rId4"/>
    <sheet name="Completo #2" sheetId="3" state="visible" r:id="rId5"/>
    <sheet name="Svalutazione #3" sheetId="4" state="visible" r:id="rId6"/>
    <sheet name="Parziale #4" sheetId="5" state="visible" r:id="rId7"/>
    <sheet name="TestbedValu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<sst xmlns="http://schemas.openxmlformats.org/spreadsheetml/2006/main" count="630" uniqueCount="189">
  <si>
    <t xml:space="preserve">English</t>
  </si>
  <si>
    <t xml:space="preserve">Italiano</t>
  </si>
  <si>
    <t xml:space="preserve"># giorni anno -3</t>
  </si>
  <si>
    <t xml:space="preserve">Current module tests do not run just regression tests but also functional tests.</t>
  </si>
  <si>
    <t xml:space="preserve">Gli attuali test dei moduli non eseguono solo test di regressione ma anche test funzionali.</t>
  </si>
  <si>
    <t xml:space="preserve"># giorni anno -2</t>
  </si>
  <si>
    <t xml:space="preserve">This worksheet contains the workflow of the current module functional tests with test data and expected values.</t>
  </si>
  <si>
    <t xml:space="preserve">Questo foglio di lavoro contiene il flusso di lavoro dei test funzionali del modulo corrente con i dati dei test e i valori attesi.</t>
  </si>
  <si>
    <t xml:space="preserve"># giorni anno -1</t>
  </si>
  <si>
    <t xml:space="preserve">Look at the tabbeds for furthermore info about tests.</t>
  </si>
  <si>
    <t xml:space="preserve">Consulta le schede per ulteriori informazioni sui test.</t>
  </si>
  <si>
    <t xml:space="preserve"># giorni anno 0</t>
  </si>
  <si>
    <t xml:space="preserve"># giorni 31-01</t>
  </si>
  <si>
    <t xml:space="preserve">Specific notes for this module</t>
  </si>
  <si>
    <t xml:space="preserve">Note specifiche per questo modulo</t>
  </si>
  <si>
    <t xml:space="preserve">The tests are based on 4 goods:</t>
  </si>
  <si>
    <t xml:space="preserve">I test si basano su 4 beni:</t>
  </si>
  <si>
    <t xml:space="preserve"> - 2 have 50% depreciation in 1st year (#1 &amp; #3)</t>
  </si>
  <si>
    <t xml:space="preserve"> - 2 hanno un ammortamento del 50% nel 1° anno (#1 e #3)</t>
  </si>
  <si>
    <t xml:space="preserve"> - 2  have pro-rata-temporis depreciation on 1st year (#2 &amp; #4)</t>
  </si>
  <si>
    <t xml:space="preserve"> - 2 hanno ammortamento pro-rata-temporis al 1° anno (#2 e #4)</t>
  </si>
  <si>
    <t xml:space="preserve"> - 1 with fixed asset write-down (#3)</t>
  </si>
  <si>
    <t xml:space="preserve"> - 1 con svalutazione del bene (#3)</t>
  </si>
  <si>
    <t xml:space="preserve"> - 1 is partial dismissed (#4)</t>
  </si>
  <si>
    <t xml:space="preserve"> - 1 è dismesso parzialmente (#4)</t>
  </si>
  <si>
    <t xml:space="preserve">Descrizione</t>
  </si>
  <si>
    <t xml:space="preserve">Valore</t>
  </si>
  <si>
    <t xml:space="preserve">Residuo</t>
  </si>
  <si>
    <t xml:space="preserve">Fondo</t>
  </si>
  <si>
    <t xml:space="preserve">Note</t>
  </si>
  <si>
    <t xml:space="preserve">Valore iniziale</t>
  </si>
  <si>
    <t xml:space="preserve">% amm</t>
  </si>
  <si>
    <t xml:space="preserve"># giorni anno-3</t>
  </si>
  <si>
    <t xml:space="preserve">Compreso giorno di acquisto</t>
  </si>
  <si>
    <t xml:space="preserve">Q.A.</t>
  </si>
  <si>
    <t xml:space="preserve">QA anno-3</t>
  </si>
  <si>
    <t xml:space="preserve">Quota per 50% anno</t>
  </si>
  <si>
    <t xml:space="preserve">%dism</t>
  </si>
  <si>
    <t xml:space="preserve">QA anno-2</t>
  </si>
  <si>
    <t xml:space="preserve">Quota intero anno</t>
  </si>
  <si>
    <t xml:space="preserve">QA anno-1</t>
  </si>
  <si>
    <t xml:space="preserve">Compreso giorno di vendita</t>
  </si>
  <si>
    <t xml:space="preserve">QA anno 0.1</t>
  </si>
  <si>
    <t xml:space="preserve">Quota alla data di vendita</t>
  </si>
  <si>
    <t xml:space="preserve"># giorni anno 0 pre</t>
  </si>
  <si>
    <t xml:space="preserve">Dismissione totale</t>
  </si>
  <si>
    <t xml:space="preserve">Prezzo vendita</t>
  </si>
  <si>
    <t xml:space="preserve">Da fattura di vendita</t>
  </si>
  <si>
    <t xml:space="preserve">Plusvalenza</t>
  </si>
  <si>
    <t xml:space="preserve">Plusvalenza perché venduto &gt; dismissione</t>
  </si>
  <si>
    <t xml:space="preserve">Registrazioni contabili</t>
  </si>
  <si>
    <t xml:space="preserve">Dare</t>
  </si>
  <si>
    <t xml:space="preserve">Avere</t>
  </si>
  <si>
    <t xml:space="preserve">Saldo</t>
  </si>
  <si>
    <t xml:space="preserve">Da calcolo bene</t>
  </si>
  <si>
    <t xml:space="preserve">Fornitore</t>
  </si>
  <si>
    <t xml:space="preserve">Ammortamento anno-2</t>
  </si>
  <si>
    <t xml:space="preserve">Bene</t>
  </si>
  <si>
    <t xml:space="preserve">QA </t>
  </si>
  <si>
    <t xml:space="preserve">QA</t>
  </si>
  <si>
    <t xml:space="preserve">controllo</t>
  </si>
  <si>
    <t xml:space="preserve">Valore residuo del bene</t>
  </si>
  <si>
    <t xml:space="preserve">Ammortamento anno-1</t>
  </si>
  <si>
    <t xml:space="preserve">Ammortamento anno</t>
  </si>
  <si>
    <t xml:space="preserve">Fattura di dismissione</t>
  </si>
  <si>
    <t xml:space="preserve">Cliente</t>
  </si>
  <si>
    <t xml:space="preserve">Dismissione senza fattura</t>
  </si>
  <si>
    <t xml:space="preserve">Transitorio</t>
  </si>
  <si>
    <t xml:space="preserve">50% dei giorni</t>
  </si>
  <si>
    <t xml:space="preserve">Minusvalenza</t>
  </si>
  <si>
    <t xml:space="preserve">Controllo</t>
  </si>
  <si>
    <t xml:space="preserve">Ammortamento -3</t>
  </si>
  <si>
    <t xml:space="preserve">Ammortamento -2</t>
  </si>
  <si>
    <t xml:space="preserve">Ammortamento -1</t>
  </si>
  <si>
    <t xml:space="preserve">Ammortamento 0</t>
  </si>
  <si>
    <t xml:space="preserve">Fondo </t>
  </si>
  <si>
    <t xml:space="preserve"># giorni anno-2 (pre svalutazione)</t>
  </si>
  <si>
    <t xml:space="preserve">QA anno-2 (pre svalutazione)</t>
  </si>
  <si>
    <t xml:space="preserve">Svalutazione</t>
  </si>
  <si>
    <t xml:space="preserve">Quota 90 giorni</t>
  </si>
  <si>
    <t xml:space="preserve">Q.A. post svalutaz,</t>
  </si>
  <si>
    <t xml:space="preserve"># giorni anno-2 (post svalutazione)</t>
  </si>
  <si>
    <t xml:space="preserve">QA anno-2 (post svalutazione)</t>
  </si>
  <si>
    <t xml:space="preserve">Quota 275 giorni</t>
  </si>
  <si>
    <t xml:space="preserve">QA anno 0</t>
  </si>
  <si>
    <t xml:space="preserve">Ammortamento 2020</t>
  </si>
  <si>
    <t xml:space="preserve">Ammortamento 2021</t>
  </si>
  <si>
    <t xml:space="preserve">Ammortamento 2021 residuo</t>
  </si>
  <si>
    <t xml:space="preserve">Quota per 92 giorni</t>
  </si>
  <si>
    <t xml:space="preserve"># giorni anno-2 (pre dismissione)</t>
  </si>
  <si>
    <t xml:space="preserve">QA anno-2  (pre dismissione)</t>
  </si>
  <si>
    <t xml:space="preserve">Quota 212 giorni</t>
  </si>
  <si>
    <t xml:space="preserve">Quota del 20% residua e venduta</t>
  </si>
  <si>
    <t xml:space="preserve">Quota di vendita</t>
  </si>
  <si>
    <t xml:space="preserve">Q.A. post</t>
  </si>
  <si>
    <t xml:space="preserve">Sopravvenienza</t>
  </si>
  <si>
    <t xml:space="preserve"># giorni anno-2 (post dismissione)</t>
  </si>
  <si>
    <t xml:space="preserve">QA anno-2 (post dismissione)</t>
  </si>
  <si>
    <t xml:space="preserve">cat1.percentage</t>
  </si>
  <si>
    <t xml:space="preserve">:</t>
  </si>
  <si>
    <t xml:space="preserve">,</t>
  </si>
  <si>
    <t xml:space="preserve">cat2.percentage</t>
  </si>
  <si>
    <t xml:space="preserve">asset_1.initial_amount</t>
  </si>
  <si>
    <t xml:space="preserve">100.0</t>
  </si>
  <si>
    <t xml:space="preserve">asset_1.purchase_amount</t>
  </si>
  <si>
    <t xml:space="preserve">asset_1.depreciation_amount[-3]</t>
  </si>
  <si>
    <t xml:space="preserve">asset_1.depreciated_amount[-3]</t>
  </si>
  <si>
    <t xml:space="preserve">asset_1.residual_amount[-3]</t>
  </si>
  <si>
    <t xml:space="preserve">asset_1.depreciation_amount[-2]</t>
  </si>
  <si>
    <t xml:space="preserve">asset_1.depreciated_amount[-2]</t>
  </si>
  <si>
    <t xml:space="preserve">asset_1.residual_amount[-2]</t>
  </si>
  <si>
    <t xml:space="preserve">asset_1.depreciation_amount[-1]</t>
  </si>
  <si>
    <t xml:space="preserve">asset_1.depreciated_amount[-1]</t>
  </si>
  <si>
    <t xml:space="preserve">asset_1.residual_amount[-1]</t>
  </si>
  <si>
    <t xml:space="preserve">asset_1.depreciation_amount[0.1]</t>
  </si>
  <si>
    <t xml:space="preserve">asset_1.depreciated_amount[0.1]</t>
  </si>
  <si>
    <t xml:space="preserve">asset_1.residual_amount[0.1]</t>
  </si>
  <si>
    <t xml:space="preserve">asset_1.depreciation_amount[0.2]</t>
  </si>
  <si>
    <t xml:space="preserve">asset_1.depreciated_amount[0.2]</t>
  </si>
  <si>
    <t xml:space="preserve">asset_1.residual_amount[0.2]</t>
  </si>
  <si>
    <t xml:space="preserve">asset_1.sale_amount[0.2]</t>
  </si>
  <si>
    <t xml:space="preserve">asset_1.sold_value[0.2]</t>
  </si>
  <si>
    <t xml:space="preserve">asset_1.gain[0.2]</t>
  </si>
  <si>
    <t xml:space="preserve">asset_2.initial_amount</t>
  </si>
  <si>
    <t xml:space="preserve">asset_2.purchase_amount</t>
  </si>
  <si>
    <t xml:space="preserve">asset_2.depreciation_amount[-3]</t>
  </si>
  <si>
    <t xml:space="preserve">asset_2.depreciated_amount[-3]</t>
  </si>
  <si>
    <t xml:space="preserve">asset_2.residual_amount[-3]</t>
  </si>
  <si>
    <t xml:space="preserve">asset_2.depreciation_amount[-2]</t>
  </si>
  <si>
    <t xml:space="preserve">asset_2.depreciated_amount[-2]</t>
  </si>
  <si>
    <t xml:space="preserve">asset_2.residual_amount[-2]</t>
  </si>
  <si>
    <t xml:space="preserve">asset_2.depreciation_amount[-1]</t>
  </si>
  <si>
    <t xml:space="preserve">asset_2.depreciated_amount[-1]</t>
  </si>
  <si>
    <t xml:space="preserve">asset_2.residual_amount[-1]</t>
  </si>
  <si>
    <t xml:space="preserve">asset_2.depreciation_amount[0.1]</t>
  </si>
  <si>
    <t xml:space="preserve">asset_2.depreciated_amount[0.1]</t>
  </si>
  <si>
    <t xml:space="preserve">asset_2.residual_amount[0.1]</t>
  </si>
  <si>
    <t xml:space="preserve">asset_2.sale_amount[0]</t>
  </si>
  <si>
    <t xml:space="preserve">asset_2.loss[0]</t>
  </si>
  <si>
    <t xml:space="preserve">asset_3.initial_amount</t>
  </si>
  <si>
    <t xml:space="preserve">asset_3.purchase_amount</t>
  </si>
  <si>
    <t xml:space="preserve">asset_3.depreciation_amount[-3]</t>
  </si>
  <si>
    <t xml:space="preserve">asset_3.depreciated_amount[-3]</t>
  </si>
  <si>
    <t xml:space="preserve">asset_3.residual_amount[-3]</t>
  </si>
  <si>
    <t xml:space="preserve">asset_3.depreciation_amount_pre[-2]</t>
  </si>
  <si>
    <t xml:space="preserve">asset_3.depreciated_amount_pre[-2]</t>
  </si>
  <si>
    <t xml:space="preserve">asset_3.residual_amount_pre[-2]</t>
  </si>
  <si>
    <t xml:space="preserve">asset_3.down_value[-2]</t>
  </si>
  <si>
    <t xml:space="preserve">asset_3.depreciation_amount_post[-2]</t>
  </si>
  <si>
    <t xml:space="preserve">asset_3.depreciated_amount_post[-2]</t>
  </si>
  <si>
    <t xml:space="preserve">asset_3.purchase_amount_post[-2]</t>
  </si>
  <si>
    <t xml:space="preserve">asset_3.residual_amount[_post[-2]</t>
  </si>
  <si>
    <t xml:space="preserve">asset_3.depreciation_amount[-2]</t>
  </si>
  <si>
    <t xml:space="preserve">asset_3.depreciated_amount[-2]</t>
  </si>
  <si>
    <t xml:space="preserve">asset_3.residual_amount[-2]</t>
  </si>
  <si>
    <t xml:space="preserve">asset_3.depreciation_amount[-1]</t>
  </si>
  <si>
    <t xml:space="preserve">asset_3.depreciated_amount[-1]</t>
  </si>
  <si>
    <t xml:space="preserve">asset_3.residual_amount[-1]</t>
  </si>
  <si>
    <t xml:space="preserve">asset_3.depreciation_amount[0.1]</t>
  </si>
  <si>
    <t xml:space="preserve">asset_3.depreciated_amount[0.1]</t>
  </si>
  <si>
    <t xml:space="preserve">asset_3.residual_amount[0.1]</t>
  </si>
  <si>
    <t xml:space="preserve">asset_3.depreciation_amount[0.2]</t>
  </si>
  <si>
    <t xml:space="preserve">asset_3.depreciated_amount[0.2]</t>
  </si>
  <si>
    <t xml:space="preserve">asset_3.residual_amount[0.2]</t>
  </si>
  <si>
    <t xml:space="preserve">asset_3.sale_amount[0.2]</t>
  </si>
  <si>
    <t xml:space="preserve">asset_3.sold_value[0.2]</t>
  </si>
  <si>
    <t xml:space="preserve">asset_3.gain[0.2]</t>
  </si>
  <si>
    <t xml:space="preserve">asset_4.initial_amount</t>
  </si>
  <si>
    <t xml:space="preserve">asset_4.purchase_amount</t>
  </si>
  <si>
    <t xml:space="preserve">asset_4.depreciation_amount[-3]</t>
  </si>
  <si>
    <t xml:space="preserve">asset_4.depreciated_amount[-3]</t>
  </si>
  <si>
    <t xml:space="preserve">asset_4.residual_amount[-3]</t>
  </si>
  <si>
    <t xml:space="preserve">asset_4.depreciation_amount_pre[-2]</t>
  </si>
  <si>
    <t xml:space="preserve">asset_4.depreciated_amount_pre[-2]</t>
  </si>
  <si>
    <t xml:space="preserve">asset_4.residual_amount_pre[-2]</t>
  </si>
  <si>
    <t xml:space="preserve">asset_4.disposal_rate</t>
  </si>
  <si>
    <t xml:space="preserve">asset_4.sale_amount[-2]</t>
  </si>
  <si>
    <t xml:space="preserve">asset_4.sold_value[-2]</t>
  </si>
  <si>
    <t xml:space="preserve">asset_4.gain[-2]</t>
  </si>
  <si>
    <t xml:space="preserve">asset_4.depreciation_amount_post[-2]</t>
  </si>
  <si>
    <t xml:space="preserve">asset_4.residual_amount[_post[-2]</t>
  </si>
  <si>
    <t xml:space="preserve">asset_4.depreciated_amount[-2]</t>
  </si>
  <si>
    <t xml:space="preserve">asset_4.residual_amount[-2]</t>
  </si>
  <si>
    <t xml:space="preserve">asset_4.depreciation_amount[-1]</t>
  </si>
  <si>
    <t xml:space="preserve">asset_4.depreciated_amount[-1]</t>
  </si>
  <si>
    <t xml:space="preserve">asset_4.residual_amount[-1]</t>
  </si>
  <si>
    <t xml:space="preserve">asset_4.depreciation_amount[0.1]</t>
  </si>
  <si>
    <t xml:space="preserve">asset_4.depreciated_amount[0.1]</t>
  </si>
  <si>
    <t xml:space="preserve">asset_4.residual_amount[0.1]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</si>
</sst>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€-410]\ #,##0.00;[RED]\-[$€-410]\ #,##0.00"/>
    <numFmt numFmtId="166" formatCode="0.00%"/>
    <numFmt numFmtId="167" formatCode="General"/>
    <numFmt numFmtId="168" formatCode="[$-809]General"/>
    <numFmt numFmtId="169" formatCode="\&quot;@\&quot;"/>
    <numFmt numFmtId="170" formatCode="@"/>
    <numFmt numFmtId="171" formatCode="[$-809]0.00%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trike val="true"/>
      <sz val="10"/>
      <name val="Arial"/>
      <family val="2"/>
      <charset val="1"/>
    </font>
    <font>
      <strike val="true"/>
      <sz val="10"/>
      <name val="Arial"/>
      <family val="2"/>
      <charset val="1"/>
    </font>
    <font>
      <u val="singl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M6" activeCellId="0" sqref="M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1.56"/>
    <col collapsed="false" customWidth="true" hidden="false" outlineLevel="0" max="2" min="2" style="1" width="99.76"/>
    <col collapsed="false" customWidth="true" hidden="false" outlineLevel="0" max="13" min="13" style="1" width="14.46"/>
    <col collapsed="false" customWidth="true" hidden="false" outlineLevel="0" max="14" min="14" style="1" width="6.3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 t="n">
        <v>2021</v>
      </c>
      <c r="M1" s="3" t="s">
        <v>2</v>
      </c>
      <c r="N1" s="3" t="n">
        <v>365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/>
      <c r="D2" s="4"/>
      <c r="E2" s="4"/>
      <c r="F2" s="4"/>
      <c r="G2" s="4"/>
      <c r="H2" s="4"/>
      <c r="I2" s="4"/>
      <c r="J2" s="4"/>
      <c r="K2" s="4"/>
      <c r="L2" s="4" t="n">
        <v>2022</v>
      </c>
      <c r="M2" s="3" t="s">
        <v>5</v>
      </c>
      <c r="N2" s="4" t="n">
        <v>365</v>
      </c>
    </row>
    <row r="3" customFormat="false" ht="12.8" hidden="false" customHeight="false" outlineLevel="0" collapsed="false">
      <c r="A3" s="4" t="s">
        <v>6</v>
      </c>
      <c r="B3" s="1" t="s">
        <v>7</v>
      </c>
      <c r="L3" s="1" t="n">
        <v>2023</v>
      </c>
      <c r="M3" s="3" t="s">
        <v>8</v>
      </c>
      <c r="N3" s="1" t="n">
        <v>365</v>
      </c>
    </row>
    <row r="4" customFormat="false" ht="12.8" hidden="false" customHeight="false" outlineLevel="0" collapsed="false">
      <c r="A4" s="1" t="s">
        <v>9</v>
      </c>
      <c r="B4" s="1" t="s">
        <v>10</v>
      </c>
      <c r="L4" s="1" t="n">
        <v>2024</v>
      </c>
      <c r="M4" s="3" t="s">
        <v>11</v>
      </c>
      <c r="N4" s="1" t="n">
        <v>366</v>
      </c>
    </row>
    <row r="5" customFormat="false" ht="12.8" hidden="false" customHeight="false" outlineLevel="0" collapsed="false">
      <c r="M5" s="1" t="s">
        <v>12</v>
      </c>
      <c r="N5" s="1" t="n">
        <v>31</v>
      </c>
    </row>
    <row r="10" customFormat="false" ht="12.8" hidden="false" customHeight="false" outlineLevel="0" collapsed="false">
      <c r="A10" s="5" t="s">
        <v>13</v>
      </c>
      <c r="B10" s="5" t="s">
        <v>14</v>
      </c>
    </row>
    <row r="11" customFormat="false" ht="12.8" hidden="false" customHeight="false" outlineLevel="0" collapsed="false">
      <c r="A11" s="1" t="s">
        <v>15</v>
      </c>
      <c r="B11" s="1" t="s">
        <v>16</v>
      </c>
    </row>
    <row r="12" customFormat="false" ht="12.8" hidden="false" customHeight="false" outlineLevel="0" collapsed="false">
      <c r="A12" s="1" t="s">
        <v>17</v>
      </c>
      <c r="B12" s="1" t="s">
        <v>18</v>
      </c>
    </row>
    <row r="13" customFormat="false" ht="12.8" hidden="false" customHeight="false" outlineLevel="0" collapsed="false">
      <c r="A13" s="1" t="s">
        <v>19</v>
      </c>
      <c r="B13" s="1" t="s">
        <v>20</v>
      </c>
    </row>
    <row r="14" customFormat="false" ht="12.8" hidden="false" customHeight="false" outlineLevel="0" collapsed="false">
      <c r="A14" s="1" t="s">
        <v>21</v>
      </c>
      <c r="B14" s="1" t="s">
        <v>22</v>
      </c>
    </row>
    <row r="15" customFormat="false" ht="12.8" hidden="false" customHeight="false" outlineLevel="0" collapsed="false">
      <c r="A15" s="1" t="s">
        <v>23</v>
      </c>
      <c r="B15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25</v>
      </c>
      <c r="B1" s="6" t="s">
        <v>26</v>
      </c>
      <c r="C1" s="6" t="s">
        <v>27</v>
      </c>
      <c r="D1" s="6" t="s">
        <v>28</v>
      </c>
      <c r="E1" s="3" t="s">
        <v>29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30</v>
      </c>
      <c r="B2" s="8" t="n">
        <v>1000</v>
      </c>
      <c r="C2" s="9" t="n">
        <f aca="false">B2</f>
        <v>1000</v>
      </c>
      <c r="D2" s="9" t="n">
        <v>0</v>
      </c>
      <c r="F2" s="1" t="s">
        <v>31</v>
      </c>
      <c r="G2" s="10" t="n">
        <v>0.35</v>
      </c>
    </row>
    <row r="3" customFormat="false" ht="12.8" hidden="false" customHeight="false" outlineLevel="0" collapsed="false">
      <c r="A3" s="1" t="s">
        <v>32</v>
      </c>
      <c r="B3" s="11" t="n">
        <v>183</v>
      </c>
      <c r="E3" s="1" t="s">
        <v>33</v>
      </c>
      <c r="F3" s="1" t="s">
        <v>34</v>
      </c>
      <c r="G3" s="12" t="n">
        <f aca="false">ROUND($B$2*G2,2)</f>
        <v>350</v>
      </c>
    </row>
    <row r="4" customFormat="false" ht="12.8" hidden="false" customHeight="false" outlineLevel="0" collapsed="false">
      <c r="A4" s="1" t="s">
        <v>35</v>
      </c>
      <c r="B4" s="9" t="n">
        <f aca="false">ROUND($G$3/2,2)</f>
        <v>175</v>
      </c>
      <c r="C4" s="9" t="n">
        <f aca="false">ROUND(C2-B4,0)</f>
        <v>825</v>
      </c>
      <c r="D4" s="9" t="n">
        <f aca="false">D2+B4</f>
        <v>175</v>
      </c>
      <c r="E4" s="1" t="s">
        <v>36</v>
      </c>
      <c r="F4" s="1" t="s">
        <v>37</v>
      </c>
      <c r="G4" s="13" t="n">
        <v>1</v>
      </c>
    </row>
    <row r="5" customFormat="false" ht="12.8" hidden="false" customHeight="false" outlineLevel="0" collapsed="false">
      <c r="A5" s="1" t="s">
        <v>38</v>
      </c>
      <c r="B5" s="9" t="n">
        <f aca="false">$G$3</f>
        <v>350</v>
      </c>
      <c r="C5" s="9" t="n">
        <f aca="false">ROUND(C4-B5,2)</f>
        <v>475</v>
      </c>
      <c r="D5" s="9" t="n">
        <f aca="false">D4+B5</f>
        <v>525</v>
      </c>
      <c r="E5" s="1" t="s">
        <v>39</v>
      </c>
    </row>
    <row r="6" customFormat="false" ht="12.8" hidden="false" customHeight="false" outlineLevel="0" collapsed="false">
      <c r="A6" s="1" t="s">
        <v>40</v>
      </c>
      <c r="B6" s="9" t="n">
        <f aca="false">$G$3</f>
        <v>350</v>
      </c>
      <c r="C6" s="9" t="n">
        <f aca="false">ROUND(C5-B6,2)</f>
        <v>125</v>
      </c>
      <c r="D6" s="9" t="n">
        <f aca="false">D5+B6</f>
        <v>875</v>
      </c>
      <c r="E6" s="1" t="s">
        <v>39</v>
      </c>
    </row>
    <row r="7" customFormat="false" ht="12.8" hidden="false" customHeight="false" outlineLevel="0" collapsed="false">
      <c r="A7" s="1" t="s">
        <v>11</v>
      </c>
      <c r="B7" s="14" t="n">
        <f aca="false">Intro!$N$5</f>
        <v>31</v>
      </c>
      <c r="E7" s="1" t="s">
        <v>41</v>
      </c>
    </row>
    <row r="8" customFormat="false" ht="12.8" hidden="false" customHeight="false" outlineLevel="0" collapsed="false">
      <c r="A8" s="1" t="s">
        <v>42</v>
      </c>
      <c r="B8" s="9" t="n">
        <f aca="false">ROUND($G$3*B7/Intro!$N$4,2)</f>
        <v>29.64</v>
      </c>
      <c r="C8" s="9" t="n">
        <f aca="false">ROUND(C6-B8,2)</f>
        <v>95.36</v>
      </c>
      <c r="D8" s="9" t="n">
        <f aca="false">D6+B8</f>
        <v>904.64</v>
      </c>
      <c r="E8" s="1" t="s">
        <v>43</v>
      </c>
    </row>
    <row r="9" customFormat="false" ht="12.8" hidden="false" customHeight="false" outlineLevel="0" collapsed="false">
      <c r="A9" s="1" t="s">
        <v>44</v>
      </c>
      <c r="B9" s="14" t="n">
        <v>15</v>
      </c>
      <c r="E9" s="1" t="s">
        <v>41</v>
      </c>
    </row>
    <row r="10" customFormat="false" ht="12.8" hidden="false" customHeight="false" outlineLevel="0" collapsed="false">
      <c r="A10" s="1" t="s">
        <v>42</v>
      </c>
      <c r="B10" s="9" t="n">
        <f aca="false">ROUND($G$3*B9/Intro!$N$4,2)</f>
        <v>14.34</v>
      </c>
      <c r="C10" s="9" t="n">
        <f aca="false">ROUND(C6-B10,2)</f>
        <v>110.66</v>
      </c>
      <c r="D10" s="9" t="n">
        <f aca="false">D6+B10</f>
        <v>889.34</v>
      </c>
      <c r="E10" s="1" t="s">
        <v>43</v>
      </c>
    </row>
    <row r="11" customFormat="false" ht="12.8" hidden="false" customHeight="false" outlineLevel="0" collapsed="false">
      <c r="A11" s="1" t="s">
        <v>45</v>
      </c>
      <c r="B11" s="9" t="n">
        <f aca="false">C10*$G$4</f>
        <v>110.66</v>
      </c>
      <c r="C11" s="9" t="n">
        <f aca="false">C10-B11</f>
        <v>0</v>
      </c>
      <c r="E11" s="1" t="s">
        <v>27</v>
      </c>
    </row>
    <row r="12" customFormat="false" ht="12.8" hidden="false" customHeight="false" outlineLevel="0" collapsed="false">
      <c r="A12" s="1" t="s">
        <v>46</v>
      </c>
      <c r="B12" s="8" t="n">
        <v>400</v>
      </c>
      <c r="E12" s="1" t="s">
        <v>47</v>
      </c>
    </row>
    <row r="13" customFormat="false" ht="12.8" hidden="false" customHeight="false" outlineLevel="0" collapsed="false">
      <c r="A13" s="1" t="s">
        <v>48</v>
      </c>
      <c r="B13" s="9" t="n">
        <f aca="false">B12-B11</f>
        <v>289.34</v>
      </c>
      <c r="E13" s="1" t="s">
        <v>49</v>
      </c>
    </row>
    <row r="15" customFormat="false" ht="12.8" hidden="false" customHeight="false" outlineLevel="0" collapsed="false">
      <c r="D15" s="12"/>
    </row>
    <row r="16" customFormat="false" ht="12.8" hidden="false" customHeight="false" outlineLevel="0" collapsed="false">
      <c r="A16" s="1" t="s">
        <v>50</v>
      </c>
      <c r="B16" s="1" t="s">
        <v>51</v>
      </c>
      <c r="C16" s="1" t="s">
        <v>52</v>
      </c>
      <c r="F16" s="1" t="s">
        <v>51</v>
      </c>
      <c r="G16" s="1" t="s">
        <v>52</v>
      </c>
      <c r="H16" s="1" t="s">
        <v>53</v>
      </c>
      <c r="I16" s="1" t="s">
        <v>54</v>
      </c>
    </row>
    <row r="17" customFormat="false" ht="12.8" hidden="false" customHeight="false" outlineLevel="0" collapsed="false">
      <c r="E17" s="1" t="s">
        <v>55</v>
      </c>
      <c r="G17" s="12" t="n">
        <f aca="false">$B$2</f>
        <v>1000</v>
      </c>
      <c r="H17" s="12" t="n">
        <f aca="false">F17-G17</f>
        <v>-1000</v>
      </c>
    </row>
    <row r="18" customFormat="false" ht="12.8" hidden="false" customHeight="false" outlineLevel="0" collapsed="false">
      <c r="A18" s="1" t="s">
        <v>56</v>
      </c>
      <c r="E18" s="1" t="s">
        <v>57</v>
      </c>
      <c r="F18" s="12" t="n">
        <f aca="false">$B$2</f>
        <v>1000</v>
      </c>
      <c r="H18" s="12" t="n">
        <f aca="false">F18-G18</f>
        <v>1000</v>
      </c>
    </row>
    <row r="19" customFormat="false" ht="12.8" hidden="false" customHeight="false" outlineLevel="0" collapsed="false">
      <c r="A19" s="1" t="s">
        <v>28</v>
      </c>
      <c r="C19" s="12" t="n">
        <f aca="false">B4</f>
        <v>175</v>
      </c>
      <c r="E19" s="1" t="s">
        <v>28</v>
      </c>
      <c r="G19" s="12" t="n">
        <f aca="false">C19</f>
        <v>175</v>
      </c>
      <c r="H19" s="12" t="n">
        <f aca="false">F19-G19</f>
        <v>-175</v>
      </c>
    </row>
    <row r="20" customFormat="false" ht="12.8" hidden="false" customHeight="false" outlineLevel="0" collapsed="false">
      <c r="A20" s="1" t="s">
        <v>58</v>
      </c>
      <c r="B20" s="9" t="n">
        <f aca="false">B4</f>
        <v>175</v>
      </c>
      <c r="E20" s="1" t="s">
        <v>59</v>
      </c>
      <c r="F20" s="12" t="n">
        <f aca="false">B20</f>
        <v>175</v>
      </c>
      <c r="H20" s="12" t="n">
        <f aca="false">F20-G20</f>
        <v>175</v>
      </c>
    </row>
    <row r="21" customFormat="false" ht="12.8" hidden="false" customHeight="false" outlineLevel="0" collapsed="false">
      <c r="A21" s="15" t="s">
        <v>60</v>
      </c>
      <c r="B21" s="16" t="n">
        <f aca="false">SUM(B18:B20)</f>
        <v>175</v>
      </c>
      <c r="C21" s="16" t="n">
        <f aca="false">SUM(C18:C20)</f>
        <v>175</v>
      </c>
      <c r="E21" s="3" t="s">
        <v>61</v>
      </c>
      <c r="H21" s="6" t="n">
        <f aca="false">H18+H19</f>
        <v>825</v>
      </c>
      <c r="I21" s="17" t="n">
        <f aca="false">C4</f>
        <v>825</v>
      </c>
    </row>
    <row r="22" customFormat="false" ht="12.8" hidden="false" customHeight="false" outlineLevel="0" collapsed="false">
      <c r="G22" s="12"/>
      <c r="H22" s="12"/>
    </row>
    <row r="23" customFormat="false" ht="12.8" hidden="false" customHeight="false" outlineLevel="0" collapsed="false">
      <c r="A23" s="1" t="s">
        <v>62</v>
      </c>
      <c r="E23" s="1" t="s">
        <v>57</v>
      </c>
      <c r="F23" s="12" t="n">
        <f aca="false">$B$2</f>
        <v>1000</v>
      </c>
      <c r="H23" s="12" t="n">
        <f aca="false">F23-G23</f>
        <v>1000</v>
      </c>
    </row>
    <row r="24" customFormat="false" ht="12.8" hidden="false" customHeight="false" outlineLevel="0" collapsed="false">
      <c r="A24" s="1" t="s">
        <v>28</v>
      </c>
      <c r="C24" s="12" t="n">
        <f aca="false">B5</f>
        <v>350</v>
      </c>
      <c r="E24" s="1" t="s">
        <v>28</v>
      </c>
      <c r="G24" s="12" t="n">
        <f aca="false">G19+C24</f>
        <v>525</v>
      </c>
      <c r="H24" s="12" t="n">
        <f aca="false">F24-G24</f>
        <v>-525</v>
      </c>
    </row>
    <row r="25" customFormat="false" ht="12.8" hidden="false" customHeight="false" outlineLevel="0" collapsed="false">
      <c r="A25" s="1" t="s">
        <v>58</v>
      </c>
      <c r="B25" s="9" t="n">
        <f aca="false">B5</f>
        <v>350</v>
      </c>
      <c r="E25" s="1" t="s">
        <v>59</v>
      </c>
      <c r="F25" s="12" t="n">
        <f aca="false">B25</f>
        <v>350</v>
      </c>
      <c r="H25" s="12" t="n">
        <f aca="false">F25-G25</f>
        <v>350</v>
      </c>
    </row>
    <row r="26" customFormat="false" ht="12.8" hidden="false" customHeight="false" outlineLevel="0" collapsed="false">
      <c r="A26" s="15" t="s">
        <v>60</v>
      </c>
      <c r="B26" s="16" t="n">
        <f aca="false">SUM(B23:B25)</f>
        <v>350</v>
      </c>
      <c r="C26" s="16" t="n">
        <f aca="false">SUM(C23:C25)</f>
        <v>350</v>
      </c>
      <c r="E26" s="3" t="s">
        <v>61</v>
      </c>
      <c r="H26" s="6" t="n">
        <f aca="false">H23+H24</f>
        <v>475</v>
      </c>
      <c r="I26" s="17" t="n">
        <f aca="false">C5</f>
        <v>475</v>
      </c>
    </row>
    <row r="28" customFormat="false" ht="12.8" hidden="false" customHeight="false" outlineLevel="0" collapsed="false">
      <c r="A28" s="1" t="s">
        <v>63</v>
      </c>
      <c r="E28" s="1" t="s">
        <v>57</v>
      </c>
      <c r="F28" s="12" t="n">
        <f aca="false">$B$2</f>
        <v>1000</v>
      </c>
      <c r="H28" s="12" t="n">
        <f aca="false">F28-G28</f>
        <v>1000</v>
      </c>
    </row>
    <row r="29" customFormat="false" ht="12.8" hidden="false" customHeight="false" outlineLevel="0" collapsed="false">
      <c r="A29" s="1" t="s">
        <v>28</v>
      </c>
      <c r="C29" s="12" t="n">
        <f aca="false">B8</f>
        <v>29.64</v>
      </c>
      <c r="E29" s="1" t="s">
        <v>28</v>
      </c>
      <c r="G29" s="12" t="n">
        <f aca="false">G24+C29</f>
        <v>554.64</v>
      </c>
      <c r="H29" s="12" t="n">
        <f aca="false">F29-G29</f>
        <v>-554.64</v>
      </c>
    </row>
    <row r="30" customFormat="false" ht="12.8" hidden="false" customHeight="false" outlineLevel="0" collapsed="false">
      <c r="A30" s="1" t="s">
        <v>58</v>
      </c>
      <c r="B30" s="9" t="n">
        <f aca="false">B8</f>
        <v>29.64</v>
      </c>
      <c r="E30" s="1" t="s">
        <v>59</v>
      </c>
      <c r="F30" s="12" t="n">
        <f aca="false">B30</f>
        <v>29.64</v>
      </c>
      <c r="H30" s="12" t="n">
        <f aca="false">F30-G30</f>
        <v>29.64</v>
      </c>
    </row>
    <row r="31" customFormat="false" ht="12.8" hidden="false" customHeight="false" outlineLevel="0" collapsed="false">
      <c r="A31" s="15" t="s">
        <v>60</v>
      </c>
      <c r="B31" s="16" t="n">
        <f aca="false">SUM(B28:B30)</f>
        <v>29.64</v>
      </c>
      <c r="C31" s="16" t="n">
        <f aca="false">SUM(C28:C30)</f>
        <v>29.64</v>
      </c>
      <c r="E31" s="3" t="s">
        <v>61</v>
      </c>
      <c r="H31" s="6" t="n">
        <f aca="false">H28+H29</f>
        <v>445.36</v>
      </c>
      <c r="I31" s="17" t="n">
        <f aca="false">C8</f>
        <v>95.36</v>
      </c>
    </row>
    <row r="32" customFormat="false" ht="12.8" hidden="false" customHeight="false" outlineLevel="0" collapsed="false">
      <c r="A32" s="15"/>
      <c r="B32" s="16"/>
      <c r="C32" s="16"/>
    </row>
    <row r="33" customFormat="false" ht="12.8" hidden="false" customHeight="false" outlineLevel="0" collapsed="false">
      <c r="A33" s="1" t="s">
        <v>64</v>
      </c>
      <c r="E33" s="1" t="s">
        <v>57</v>
      </c>
      <c r="F33" s="12" t="n">
        <f aca="false">$B$2</f>
        <v>1000</v>
      </c>
      <c r="G33" s="12" t="n">
        <f aca="false">C35</f>
        <v>400</v>
      </c>
      <c r="H33" s="12" t="n">
        <f aca="false">F33-G33</f>
        <v>600</v>
      </c>
    </row>
    <row r="34" customFormat="false" ht="12.8" hidden="false" customHeight="false" outlineLevel="0" collapsed="false">
      <c r="A34" s="1" t="s">
        <v>65</v>
      </c>
      <c r="B34" s="12" t="n">
        <f aca="false">B12</f>
        <v>400</v>
      </c>
      <c r="C34" s="12"/>
      <c r="E34" s="1" t="s">
        <v>28</v>
      </c>
      <c r="G34" s="12" t="n">
        <f aca="false">G29</f>
        <v>554.64</v>
      </c>
      <c r="H34" s="12" t="n">
        <f aca="false">F34-G34</f>
        <v>-554.64</v>
      </c>
    </row>
    <row r="35" customFormat="false" ht="12.8" hidden="false" customHeight="false" outlineLevel="0" collapsed="false">
      <c r="A35" s="1" t="s">
        <v>57</v>
      </c>
      <c r="B35" s="12"/>
      <c r="C35" s="12" t="n">
        <f aca="false">B12</f>
        <v>400</v>
      </c>
      <c r="E35" s="1" t="s">
        <v>59</v>
      </c>
      <c r="F35" s="12" t="n">
        <f aca="false">B35</f>
        <v>0</v>
      </c>
      <c r="H35" s="12" t="n">
        <f aca="false">F35-G35</f>
        <v>0</v>
      </c>
    </row>
    <row r="36" customFormat="false" ht="12.8" hidden="false" customHeight="false" outlineLevel="0" collapsed="false">
      <c r="A36" s="15" t="s">
        <v>60</v>
      </c>
      <c r="B36" s="16" t="n">
        <f aca="false">SUM(B33:B35)</f>
        <v>400</v>
      </c>
      <c r="C36" s="16" t="n">
        <f aca="false">SUM(C33:C35)</f>
        <v>400</v>
      </c>
      <c r="E36" s="18" t="s">
        <v>61</v>
      </c>
      <c r="F36" s="19"/>
      <c r="G36" s="19"/>
      <c r="H36" s="20" t="n">
        <f aca="false">H33+H34</f>
        <v>45.36</v>
      </c>
    </row>
    <row r="38" customFormat="false" ht="12.8" hidden="false" customHeight="false" outlineLevel="0" collapsed="false">
      <c r="A38" s="1" t="s">
        <v>45</v>
      </c>
      <c r="E38" s="1" t="s">
        <v>57</v>
      </c>
      <c r="F38" s="12" t="n">
        <f aca="false">F33+B39</f>
        <v>734.7</v>
      </c>
      <c r="G38" s="12" t="n">
        <f aca="false">G33+C42</f>
        <v>400</v>
      </c>
      <c r="H38" s="12" t="n">
        <f aca="false">F38-G38</f>
        <v>334.7</v>
      </c>
    </row>
    <row r="39" customFormat="false" ht="12.8" hidden="false" customHeight="false" outlineLevel="0" collapsed="false">
      <c r="A39" s="1" t="s">
        <v>57</v>
      </c>
      <c r="B39" s="12" t="n">
        <f aca="false">B13-G29</f>
        <v>-265.3</v>
      </c>
      <c r="C39" s="12"/>
      <c r="E39" s="1" t="s">
        <v>28</v>
      </c>
      <c r="F39" s="12" t="n">
        <f aca="false">F29+B41</f>
        <v>554.64</v>
      </c>
      <c r="G39" s="12" t="n">
        <f aca="false">G29</f>
        <v>554.64</v>
      </c>
      <c r="H39" s="12" t="n">
        <f aca="false">F39-G39</f>
        <v>0</v>
      </c>
    </row>
    <row r="40" customFormat="false" ht="12.8" hidden="false" customHeight="false" outlineLevel="0" collapsed="false">
      <c r="A40" s="1" t="s">
        <v>48</v>
      </c>
      <c r="B40" s="12"/>
      <c r="C40" s="9" t="n">
        <f aca="false">B13</f>
        <v>289.34</v>
      </c>
      <c r="E40" s="1" t="s">
        <v>59</v>
      </c>
      <c r="F40" s="12" t="n">
        <f aca="false">B40</f>
        <v>0</v>
      </c>
      <c r="H40" s="12" t="n">
        <f aca="false">F40-G40</f>
        <v>0</v>
      </c>
    </row>
    <row r="41" customFormat="false" ht="12.8" hidden="false" customHeight="false" outlineLevel="0" collapsed="false">
      <c r="A41" s="1" t="s">
        <v>28</v>
      </c>
      <c r="B41" s="12" t="n">
        <f aca="false">G29</f>
        <v>554.64</v>
      </c>
      <c r="C41" s="12"/>
      <c r="E41" s="1" t="s">
        <v>48</v>
      </c>
      <c r="F41" s="12"/>
      <c r="G41" s="12" t="n">
        <f aca="false">C40</f>
        <v>289.34</v>
      </c>
      <c r="H41" s="12" t="n">
        <f aca="false">F41-G41</f>
        <v>-289.34</v>
      </c>
    </row>
    <row r="42" customFormat="false" ht="12.8" hidden="false" customHeight="false" outlineLevel="0" collapsed="false">
      <c r="A42" s="1" t="s">
        <v>57</v>
      </c>
      <c r="B42" s="12"/>
      <c r="C42" s="12" t="n">
        <v>0</v>
      </c>
      <c r="E42" s="3" t="s">
        <v>61</v>
      </c>
      <c r="H42" s="6" t="n">
        <f aca="false">H38+H39</f>
        <v>334.7</v>
      </c>
      <c r="I42" s="17" t="n">
        <f aca="false">C11</f>
        <v>0</v>
      </c>
    </row>
    <row r="43" customFormat="false" ht="12.8" hidden="false" customHeight="false" outlineLevel="0" collapsed="false">
      <c r="A43" s="15" t="s">
        <v>60</v>
      </c>
      <c r="B43" s="16" t="n">
        <f aca="false">SUM(B38:B42)</f>
        <v>289.34</v>
      </c>
      <c r="C43" s="16" t="n">
        <f aca="false">SUM(C38:C42)</f>
        <v>289.34</v>
      </c>
      <c r="H43" s="12"/>
    </row>
    <row r="45" customFormat="false" ht="12.8" hidden="false" customHeight="false" outlineLevel="0" collapsed="false">
      <c r="A45" s="1" t="s">
        <v>66</v>
      </c>
    </row>
    <row r="46" customFormat="false" ht="12.8" hidden="false" customHeight="false" outlineLevel="0" collapsed="false">
      <c r="A46" s="1" t="s">
        <v>57</v>
      </c>
      <c r="B46" s="12"/>
      <c r="C46" s="12" t="n">
        <f aca="false">C35-B39</f>
        <v>665.3</v>
      </c>
      <c r="E46" s="1" t="s">
        <v>57</v>
      </c>
      <c r="F46" s="12" t="n">
        <f aca="false">F28</f>
        <v>1000</v>
      </c>
      <c r="G46" s="12" t="n">
        <f aca="false">G28+C46</f>
        <v>665.3</v>
      </c>
      <c r="H46" s="12" t="n">
        <f aca="false">F46-G46</f>
        <v>334.7</v>
      </c>
    </row>
    <row r="47" customFormat="false" ht="12.8" hidden="false" customHeight="false" outlineLevel="0" collapsed="false">
      <c r="A47" s="1" t="s">
        <v>48</v>
      </c>
      <c r="B47" s="12"/>
      <c r="C47" s="9" t="n">
        <f aca="false">C40</f>
        <v>289.34</v>
      </c>
      <c r="E47" s="1" t="s">
        <v>28</v>
      </c>
      <c r="F47" s="12" t="n">
        <f aca="false">F29+B48</f>
        <v>554.64</v>
      </c>
      <c r="G47" s="12" t="n">
        <f aca="false">G29</f>
        <v>554.64</v>
      </c>
      <c r="H47" s="12" t="n">
        <f aca="false">F47-G47</f>
        <v>0</v>
      </c>
    </row>
    <row r="48" customFormat="false" ht="12.8" hidden="false" customHeight="false" outlineLevel="0" collapsed="false">
      <c r="A48" s="1" t="s">
        <v>28</v>
      </c>
      <c r="B48" s="12" t="n">
        <f aca="false">B41</f>
        <v>554.64</v>
      </c>
      <c r="C48" s="12"/>
      <c r="E48" s="1" t="s">
        <v>59</v>
      </c>
      <c r="F48" s="12" t="n">
        <v>0</v>
      </c>
      <c r="H48" s="12" t="n">
        <f aca="false">F48-G48</f>
        <v>0</v>
      </c>
    </row>
    <row r="49" customFormat="false" ht="12.8" hidden="false" customHeight="false" outlineLevel="0" collapsed="false">
      <c r="A49" s="1" t="s">
        <v>67</v>
      </c>
      <c r="B49" s="12" t="n">
        <f aca="false">B12</f>
        <v>400</v>
      </c>
      <c r="C49" s="12"/>
      <c r="F49" s="12"/>
      <c r="H49" s="12"/>
    </row>
    <row r="50" customFormat="false" ht="12.8" hidden="false" customHeight="false" outlineLevel="0" collapsed="false">
      <c r="A50" s="15" t="s">
        <v>60</v>
      </c>
      <c r="B50" s="16" t="n">
        <f aca="false">SUM(B45:B49)</f>
        <v>954.64</v>
      </c>
      <c r="C50" s="16" t="n">
        <f aca="false">SUM(C45:C49)</f>
        <v>954.64</v>
      </c>
      <c r="E50" s="1" t="s">
        <v>48</v>
      </c>
      <c r="F50" s="12"/>
      <c r="G50" s="12" t="n">
        <f aca="false">C47</f>
        <v>289.34</v>
      </c>
      <c r="H50" s="12" t="n">
        <f aca="false">F50-G50</f>
        <v>-289.34</v>
      </c>
    </row>
    <row r="51" customFormat="false" ht="12.8" hidden="false" customHeight="false" outlineLevel="0" collapsed="false">
      <c r="E51" s="3" t="s">
        <v>61</v>
      </c>
      <c r="H51" s="6" t="n">
        <f aca="false">H46+H47</f>
        <v>334.7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8" min="8" style="4" width="11.57"/>
    <col collapsed="false" customWidth="true" hidden="false" outlineLevel="0" max="10" min="9" style="4" width="14.46"/>
    <col collapsed="false" customWidth="false" hidden="false" outlineLevel="0" max="1022" min="11" style="4" width="11.57"/>
    <col collapsed="false" customWidth="false" hidden="false" outlineLevel="0" max="1024" min="1024" style="4" width="11.57"/>
  </cols>
  <sheetData>
    <row r="1" customFormat="false" ht="12.8" hidden="false" customHeight="false" outlineLevel="0" collapsed="false">
      <c r="A1" s="3" t="s">
        <v>25</v>
      </c>
      <c r="B1" s="6" t="s">
        <v>26</v>
      </c>
      <c r="C1" s="6" t="s">
        <v>27</v>
      </c>
      <c r="D1" s="6" t="s">
        <v>28</v>
      </c>
      <c r="E1" s="3" t="s">
        <v>29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3"/>
      <c r="AMJ1" s="1"/>
      <c r="AMK1" s="1"/>
    </row>
    <row r="2" customFormat="false" ht="12.8" hidden="false" customHeight="false" outlineLevel="0" collapsed="false">
      <c r="A2" s="1" t="s">
        <v>30</v>
      </c>
      <c r="B2" s="8" t="n">
        <v>2500</v>
      </c>
      <c r="C2" s="9" t="n">
        <f aca="false">B2</f>
        <v>2500</v>
      </c>
      <c r="D2" s="9" t="n">
        <v>0</v>
      </c>
      <c r="F2" s="1" t="s">
        <v>31</v>
      </c>
      <c r="G2" s="10" t="n">
        <v>0.24</v>
      </c>
    </row>
    <row r="3" customFormat="false" ht="12.8" hidden="false" customHeight="false" outlineLevel="0" collapsed="false">
      <c r="A3" s="1" t="s">
        <v>32</v>
      </c>
      <c r="B3" s="11" t="n">
        <v>92</v>
      </c>
      <c r="E3" s="1" t="s">
        <v>68</v>
      </c>
      <c r="F3" s="1" t="s">
        <v>34</v>
      </c>
      <c r="G3" s="12" t="n">
        <f aca="false">$B$2*G2</f>
        <v>600</v>
      </c>
    </row>
    <row r="4" customFormat="false" ht="12.8" hidden="false" customHeight="false" outlineLevel="0" collapsed="false">
      <c r="A4" s="1" t="s">
        <v>35</v>
      </c>
      <c r="B4" s="9" t="n">
        <f aca="false">ROUND($G$3*B3/Intro!$N$1,2)</f>
        <v>151.23</v>
      </c>
      <c r="C4" s="9" t="n">
        <f aca="false">ROUND(C2-B4,2)</f>
        <v>2348.77</v>
      </c>
      <c r="D4" s="9" t="n">
        <f aca="false">D2+B4</f>
        <v>151.23</v>
      </c>
      <c r="E4" s="1" t="s">
        <v>36</v>
      </c>
      <c r="F4" s="1" t="s">
        <v>37</v>
      </c>
      <c r="G4" s="13" t="n">
        <v>1</v>
      </c>
    </row>
    <row r="5" customFormat="false" ht="12.8" hidden="false" customHeight="false" outlineLevel="0" collapsed="false">
      <c r="A5" s="1" t="s">
        <v>38</v>
      </c>
      <c r="B5" s="9" t="n">
        <f aca="false">$G$3</f>
        <v>600</v>
      </c>
      <c r="C5" s="9" t="n">
        <f aca="false">ROUND(C4-B5,2)</f>
        <v>1748.77</v>
      </c>
      <c r="D5" s="9" t="n">
        <f aca="false">D4+B5</f>
        <v>751.23</v>
      </c>
      <c r="E5" s="1" t="s">
        <v>39</v>
      </c>
    </row>
    <row r="6" customFormat="false" ht="12.8" hidden="false" customHeight="false" outlineLevel="0" collapsed="false">
      <c r="A6" s="1" t="s">
        <v>40</v>
      </c>
      <c r="B6" s="9" t="n">
        <f aca="false">$G$3</f>
        <v>600</v>
      </c>
      <c r="C6" s="9" t="n">
        <f aca="false">ROUND(C5-B6,2)</f>
        <v>1148.77</v>
      </c>
      <c r="D6" s="9" t="n">
        <f aca="false">D5+B6</f>
        <v>1351.23</v>
      </c>
      <c r="E6" s="1" t="s">
        <v>39</v>
      </c>
    </row>
    <row r="7" customFormat="false" ht="12.8" hidden="false" customHeight="false" outlineLevel="0" collapsed="false">
      <c r="A7" s="1" t="s">
        <v>11</v>
      </c>
      <c r="B7" s="14" t="n">
        <f aca="false">Intro!$N$5</f>
        <v>31</v>
      </c>
      <c r="E7" s="1" t="s">
        <v>41</v>
      </c>
    </row>
    <row r="8" customFormat="false" ht="12.8" hidden="false" customHeight="false" outlineLevel="0" collapsed="false">
      <c r="A8" s="1" t="s">
        <v>42</v>
      </c>
      <c r="B8" s="9" t="n">
        <f aca="false">ROUND($G$3*B7/Intro!$N$4,2)</f>
        <v>50.82</v>
      </c>
      <c r="C8" s="9" t="n">
        <f aca="false">C6-B8</f>
        <v>1097.95</v>
      </c>
      <c r="D8" s="9" t="n">
        <f aca="false">D6+B8</f>
        <v>1402.05</v>
      </c>
      <c r="E8" s="1" t="s">
        <v>43</v>
      </c>
    </row>
    <row r="9" customFormat="false" ht="12.8" hidden="false" customHeight="false" outlineLevel="0" collapsed="false">
      <c r="B9" s="9"/>
      <c r="C9" s="9"/>
      <c r="D9" s="9"/>
    </row>
    <row r="10" customFormat="false" ht="12.8" hidden="false" customHeight="false" outlineLevel="0" collapsed="false">
      <c r="A10" s="1" t="s">
        <v>45</v>
      </c>
      <c r="B10" s="9" t="n">
        <f aca="false">C8*$G$4</f>
        <v>1097.95</v>
      </c>
      <c r="C10" s="9" t="n">
        <f aca="false">C8-B10</f>
        <v>0</v>
      </c>
      <c r="E10" s="1" t="s">
        <v>27</v>
      </c>
    </row>
    <row r="11" customFormat="false" ht="12.8" hidden="false" customHeight="false" outlineLevel="0" collapsed="false">
      <c r="A11" s="1" t="s">
        <v>46</v>
      </c>
      <c r="B11" s="8" t="n">
        <v>1000</v>
      </c>
      <c r="E11" s="1" t="s">
        <v>47</v>
      </c>
    </row>
    <row r="12" customFormat="false" ht="12.8" hidden="false" customHeight="false" outlineLevel="0" collapsed="false">
      <c r="A12" s="1" t="s">
        <v>69</v>
      </c>
      <c r="B12" s="9" t="n">
        <f aca="false">B10-B11</f>
        <v>97.9500000000001</v>
      </c>
      <c r="E12" s="1" t="s">
        <v>49</v>
      </c>
    </row>
    <row r="14" customFormat="false" ht="12.8" hidden="false" customHeight="false" outlineLevel="0" collapsed="false">
      <c r="D14" s="12"/>
      <c r="E14" s="0"/>
      <c r="F14" s="0"/>
      <c r="G14" s="0"/>
      <c r="H14" s="0"/>
      <c r="I14" s="0"/>
      <c r="J14" s="0"/>
    </row>
    <row r="15" customFormat="false" ht="12.8" hidden="false" customHeight="false" outlineLevel="0" collapsed="false">
      <c r="A15" s="1" t="s">
        <v>50</v>
      </c>
      <c r="B15" s="1" t="s">
        <v>51</v>
      </c>
      <c r="C15" s="1" t="s">
        <v>52</v>
      </c>
      <c r="E15" s="21"/>
      <c r="F15" s="21" t="s">
        <v>51</v>
      </c>
      <c r="G15" s="21" t="s">
        <v>52</v>
      </c>
      <c r="H15" s="21" t="s">
        <v>53</v>
      </c>
      <c r="I15" s="22"/>
      <c r="J15" s="22" t="s">
        <v>70</v>
      </c>
    </row>
    <row r="16" customFormat="false" ht="12.8" hidden="false" customHeight="false" outlineLevel="0" collapsed="false">
      <c r="E16" s="21" t="s">
        <v>55</v>
      </c>
      <c r="F16" s="21"/>
      <c r="G16" s="23" t="n">
        <f aca="false">$B$2</f>
        <v>2500</v>
      </c>
      <c r="H16" s="23" t="n">
        <f aca="false">F16-G16</f>
        <v>-2500</v>
      </c>
      <c r="I16" s="24"/>
      <c r="J16" s="25"/>
    </row>
    <row r="17" customFormat="false" ht="12.8" hidden="false" customHeight="false" outlineLevel="0" collapsed="false">
      <c r="A17" s="1" t="s">
        <v>71</v>
      </c>
      <c r="E17" s="21" t="s">
        <v>57</v>
      </c>
      <c r="F17" s="23" t="n">
        <f aca="false">$B$2</f>
        <v>2500</v>
      </c>
      <c r="G17" s="21"/>
      <c r="H17" s="23" t="n">
        <f aca="false">F17-G17</f>
        <v>2500</v>
      </c>
      <c r="I17" s="24"/>
      <c r="J17" s="25"/>
    </row>
    <row r="18" customFormat="false" ht="12.8" hidden="false" customHeight="false" outlineLevel="0" collapsed="false">
      <c r="A18" s="1" t="s">
        <v>28</v>
      </c>
      <c r="C18" s="12" t="n">
        <f aca="false">B4</f>
        <v>151.23</v>
      </c>
      <c r="E18" s="21" t="s">
        <v>28</v>
      </c>
      <c r="F18" s="21"/>
      <c r="G18" s="23" t="n">
        <f aca="false">C18</f>
        <v>151.23</v>
      </c>
      <c r="H18" s="23" t="n">
        <f aca="false">F18-G18</f>
        <v>-151.23</v>
      </c>
      <c r="I18" s="24"/>
      <c r="J18" s="26" t="n">
        <f aca="false">D4</f>
        <v>151.23</v>
      </c>
    </row>
    <row r="19" customFormat="false" ht="12.8" hidden="false" customHeight="false" outlineLevel="0" collapsed="false">
      <c r="A19" s="1" t="s">
        <v>58</v>
      </c>
      <c r="B19" s="9" t="n">
        <f aca="false">B4</f>
        <v>151.23</v>
      </c>
      <c r="E19" s="21" t="s">
        <v>59</v>
      </c>
      <c r="F19" s="23" t="n">
        <f aca="false">B19</f>
        <v>151.23</v>
      </c>
      <c r="G19" s="21"/>
      <c r="H19" s="23" t="n">
        <f aca="false">F19-G19</f>
        <v>151.23</v>
      </c>
      <c r="I19" s="24"/>
      <c r="J19" s="25"/>
    </row>
    <row r="20" customFormat="false" ht="12.8" hidden="false" customHeight="false" outlineLevel="0" collapsed="false">
      <c r="A20" s="15" t="s">
        <v>60</v>
      </c>
      <c r="B20" s="16" t="n">
        <f aca="false">SUM(B17:B19)</f>
        <v>151.23</v>
      </c>
      <c r="C20" s="16" t="n">
        <f aca="false">SUM(C17:C19)</f>
        <v>151.23</v>
      </c>
      <c r="E20" s="27" t="s">
        <v>61</v>
      </c>
      <c r="F20" s="22"/>
      <c r="G20" s="22"/>
      <c r="H20" s="28" t="n">
        <f aca="false">H17+H18</f>
        <v>2348.77</v>
      </c>
      <c r="I20" s="28"/>
      <c r="J20" s="29" t="n">
        <f aca="false">C4</f>
        <v>2348.77</v>
      </c>
    </row>
    <row r="21" customFormat="false" ht="12.8" hidden="false" customHeight="false" outlineLevel="0" collapsed="false">
      <c r="G21" s="12"/>
      <c r="H21" s="12"/>
      <c r="I21" s="12"/>
    </row>
    <row r="22" customFormat="false" ht="12.8" hidden="false" customHeight="false" outlineLevel="0" collapsed="false">
      <c r="A22" s="1" t="s">
        <v>72</v>
      </c>
      <c r="E22" s="21" t="s">
        <v>57</v>
      </c>
      <c r="F22" s="23" t="n">
        <f aca="false">$B$2</f>
        <v>2500</v>
      </c>
      <c r="G22" s="21"/>
      <c r="H22" s="23" t="n">
        <f aca="false">F22-G22</f>
        <v>2500</v>
      </c>
      <c r="I22" s="12"/>
    </row>
    <row r="23" customFormat="false" ht="12.8" hidden="false" customHeight="false" outlineLevel="0" collapsed="false">
      <c r="A23" s="1" t="s">
        <v>28</v>
      </c>
      <c r="C23" s="12" t="n">
        <f aca="false">B5</f>
        <v>600</v>
      </c>
      <c r="E23" s="21" t="s">
        <v>28</v>
      </c>
      <c r="F23" s="21"/>
      <c r="G23" s="23" t="n">
        <f aca="false">G18+C23</f>
        <v>751.23</v>
      </c>
      <c r="H23" s="23" t="n">
        <f aca="false">F23-G23</f>
        <v>-751.23</v>
      </c>
      <c r="I23" s="12"/>
      <c r="J23" s="30" t="n">
        <f aca="false">D5</f>
        <v>751.23</v>
      </c>
    </row>
    <row r="24" customFormat="false" ht="12.8" hidden="false" customHeight="false" outlineLevel="0" collapsed="false">
      <c r="A24" s="1" t="s">
        <v>58</v>
      </c>
      <c r="B24" s="9" t="n">
        <f aca="false">B5</f>
        <v>600</v>
      </c>
      <c r="E24" s="21" t="s">
        <v>59</v>
      </c>
      <c r="F24" s="23" t="n">
        <f aca="false">B24</f>
        <v>600</v>
      </c>
      <c r="G24" s="21"/>
      <c r="H24" s="23" t="n">
        <f aca="false">F24-G24</f>
        <v>600</v>
      </c>
      <c r="I24" s="12"/>
    </row>
    <row r="25" customFormat="false" ht="12.8" hidden="false" customHeight="false" outlineLevel="0" collapsed="false">
      <c r="A25" s="15" t="s">
        <v>60</v>
      </c>
      <c r="B25" s="16" t="n">
        <f aca="false">SUM(B22:B24)</f>
        <v>600</v>
      </c>
      <c r="C25" s="16" t="n">
        <f aca="false">SUM(C22:C24)</f>
        <v>600</v>
      </c>
      <c r="E25" s="3" t="s">
        <v>61</v>
      </c>
      <c r="H25" s="6" t="n">
        <f aca="false">H22+H23</f>
        <v>1748.77</v>
      </c>
      <c r="I25" s="6"/>
      <c r="J25" s="17" t="n">
        <f aca="false">C5</f>
        <v>1748.77</v>
      </c>
    </row>
    <row r="26" customFormat="false" ht="12.8" hidden="false" customHeight="false" outlineLevel="0" collapsed="false">
      <c r="A26" s="15"/>
      <c r="B26" s="16"/>
      <c r="C26" s="16"/>
      <c r="E26" s="3"/>
      <c r="H26" s="6"/>
      <c r="I26" s="6"/>
      <c r="J26" s="17"/>
    </row>
    <row r="27" customFormat="false" ht="12.8" hidden="false" customHeight="false" outlineLevel="0" collapsed="false">
      <c r="A27" s="1" t="s">
        <v>73</v>
      </c>
      <c r="E27" s="21" t="s">
        <v>57</v>
      </c>
      <c r="F27" s="23" t="n">
        <f aca="false">$B$2</f>
        <v>2500</v>
      </c>
      <c r="G27" s="21"/>
      <c r="H27" s="23" t="n">
        <f aca="false">F27-G27</f>
        <v>2500</v>
      </c>
      <c r="I27" s="12"/>
    </row>
    <row r="28" customFormat="false" ht="12.8" hidden="false" customHeight="false" outlineLevel="0" collapsed="false">
      <c r="A28" s="1" t="s">
        <v>28</v>
      </c>
      <c r="C28" s="12" t="n">
        <f aca="false">B6</f>
        <v>600</v>
      </c>
      <c r="E28" s="21" t="s">
        <v>28</v>
      </c>
      <c r="F28" s="21"/>
      <c r="G28" s="23" t="n">
        <f aca="false">G23+C28</f>
        <v>1351.23</v>
      </c>
      <c r="H28" s="23" t="n">
        <f aca="false">F28-G28</f>
        <v>-1351.23</v>
      </c>
      <c r="I28" s="12"/>
      <c r="J28" s="30" t="n">
        <f aca="false">D6</f>
        <v>1351.23</v>
      </c>
    </row>
    <row r="29" customFormat="false" ht="12.8" hidden="false" customHeight="false" outlineLevel="0" collapsed="false">
      <c r="A29" s="1" t="s">
        <v>58</v>
      </c>
      <c r="B29" s="9" t="n">
        <f aca="false">B6</f>
        <v>600</v>
      </c>
      <c r="E29" s="21" t="s">
        <v>59</v>
      </c>
      <c r="F29" s="23" t="n">
        <f aca="false">B29</f>
        <v>600</v>
      </c>
      <c r="G29" s="21"/>
      <c r="H29" s="23" t="n">
        <f aca="false">F29-G29</f>
        <v>600</v>
      </c>
      <c r="I29" s="12"/>
    </row>
    <row r="30" customFormat="false" ht="12.8" hidden="false" customHeight="false" outlineLevel="0" collapsed="false">
      <c r="A30" s="15" t="s">
        <v>60</v>
      </c>
      <c r="B30" s="16" t="n">
        <f aca="false">SUM(B27:B29)</f>
        <v>600</v>
      </c>
      <c r="C30" s="16" t="n">
        <f aca="false">SUM(C27:C29)</f>
        <v>600</v>
      </c>
      <c r="E30" s="3" t="s">
        <v>61</v>
      </c>
      <c r="H30" s="6" t="n">
        <f aca="false">H27+H28</f>
        <v>1148.77</v>
      </c>
      <c r="I30" s="6"/>
      <c r="J30" s="17" t="n">
        <f aca="false">C6</f>
        <v>1148.77</v>
      </c>
    </row>
    <row r="32" customFormat="false" ht="12.8" hidden="false" customHeight="false" outlineLevel="0" collapsed="false">
      <c r="A32" s="1" t="s">
        <v>74</v>
      </c>
      <c r="E32" s="21" t="s">
        <v>57</v>
      </c>
      <c r="F32" s="23" t="n">
        <f aca="false">$B$2</f>
        <v>2500</v>
      </c>
      <c r="G32" s="21"/>
      <c r="H32" s="23" t="n">
        <f aca="false">F32-G32</f>
        <v>2500</v>
      </c>
      <c r="I32" s="12"/>
    </row>
    <row r="33" customFormat="false" ht="12.8" hidden="false" customHeight="false" outlineLevel="0" collapsed="false">
      <c r="A33" s="1" t="s">
        <v>28</v>
      </c>
      <c r="C33" s="12" t="n">
        <f aca="false">B8</f>
        <v>50.82</v>
      </c>
      <c r="E33" s="21" t="s">
        <v>28</v>
      </c>
      <c r="F33" s="21"/>
      <c r="G33" s="23" t="n">
        <f aca="false">G28+C33</f>
        <v>1402.05</v>
      </c>
      <c r="H33" s="23" t="n">
        <f aca="false">F33-G33</f>
        <v>-1402.05</v>
      </c>
      <c r="I33" s="12"/>
      <c r="J33" s="30" t="n">
        <f aca="false">D8</f>
        <v>1402.05</v>
      </c>
    </row>
    <row r="34" customFormat="false" ht="12.8" hidden="false" customHeight="false" outlineLevel="0" collapsed="false">
      <c r="A34" s="1" t="s">
        <v>58</v>
      </c>
      <c r="B34" s="9" t="n">
        <f aca="false">B8</f>
        <v>50.82</v>
      </c>
      <c r="E34" s="21" t="s">
        <v>59</v>
      </c>
      <c r="F34" s="23" t="n">
        <f aca="false">B34</f>
        <v>50.82</v>
      </c>
      <c r="G34" s="21"/>
      <c r="H34" s="23" t="n">
        <f aca="false">F34-G34</f>
        <v>50.82</v>
      </c>
      <c r="I34" s="12"/>
    </row>
    <row r="35" customFormat="false" ht="12.8" hidden="false" customHeight="false" outlineLevel="0" collapsed="false">
      <c r="A35" s="15" t="s">
        <v>60</v>
      </c>
      <c r="B35" s="16" t="n">
        <f aca="false">SUM(B32:B34)</f>
        <v>50.82</v>
      </c>
      <c r="C35" s="16" t="n">
        <f aca="false">SUM(C32:C34)</f>
        <v>50.82</v>
      </c>
      <c r="E35" s="3" t="s">
        <v>61</v>
      </c>
      <c r="H35" s="6" t="n">
        <f aca="false">H32+H33</f>
        <v>1097.95</v>
      </c>
      <c r="I35" s="6"/>
      <c r="J35" s="17" t="n">
        <f aca="false">C8</f>
        <v>1097.95</v>
      </c>
    </row>
    <row r="36" customFormat="false" ht="12.8" hidden="false" customHeight="false" outlineLevel="0" collapsed="false">
      <c r="A36" s="15"/>
      <c r="B36" s="16"/>
      <c r="C36" s="16"/>
    </row>
    <row r="37" customFormat="false" ht="12.8" hidden="false" customHeight="false" outlineLevel="0" collapsed="false">
      <c r="A37" s="1" t="s">
        <v>64</v>
      </c>
      <c r="E37" s="0"/>
      <c r="F37" s="0"/>
      <c r="G37" s="0"/>
      <c r="H37" s="0"/>
      <c r="I37" s="0"/>
    </row>
    <row r="38" customFormat="false" ht="12.8" hidden="false" customHeight="false" outlineLevel="0" collapsed="false">
      <c r="A38" s="1" t="s">
        <v>65</v>
      </c>
      <c r="B38" s="12" t="n">
        <f aca="false">B11</f>
        <v>1000</v>
      </c>
      <c r="C38" s="12"/>
      <c r="G38" s="12"/>
      <c r="H38" s="12"/>
      <c r="I38" s="12"/>
    </row>
    <row r="39" customFormat="false" ht="12.8" hidden="false" customHeight="false" outlineLevel="0" collapsed="false">
      <c r="A39" s="1" t="s">
        <v>57</v>
      </c>
      <c r="B39" s="12"/>
      <c r="C39" s="12" t="n">
        <f aca="false">B11</f>
        <v>1000</v>
      </c>
      <c r="E39" s="21" t="s">
        <v>57</v>
      </c>
      <c r="F39" s="23" t="n">
        <f aca="false">$B$2</f>
        <v>2500</v>
      </c>
      <c r="G39" s="23" t="n">
        <f aca="false">C39</f>
        <v>1000</v>
      </c>
      <c r="H39" s="23" t="n">
        <f aca="false">F39-G39</f>
        <v>1500</v>
      </c>
      <c r="I39" s="12"/>
    </row>
    <row r="40" customFormat="false" ht="12.8" hidden="false" customHeight="false" outlineLevel="0" collapsed="false">
      <c r="A40" s="15" t="s">
        <v>60</v>
      </c>
      <c r="B40" s="16" t="n">
        <f aca="false">SUM(B37:B39)</f>
        <v>1000</v>
      </c>
      <c r="C40" s="16" t="n">
        <f aca="false">SUM(C37:C39)</f>
        <v>1000</v>
      </c>
      <c r="E40" s="18"/>
      <c r="F40" s="19"/>
      <c r="G40" s="19"/>
      <c r="H40" s="20"/>
      <c r="I40" s="20"/>
    </row>
    <row r="42" customFormat="false" ht="12.8" hidden="false" customHeight="false" outlineLevel="0" collapsed="false">
      <c r="A42" s="1" t="s">
        <v>45</v>
      </c>
      <c r="E42" s="0"/>
      <c r="F42" s="0"/>
      <c r="G42" s="0"/>
      <c r="H42" s="0"/>
      <c r="I42" s="0"/>
      <c r="J42" s="0"/>
    </row>
    <row r="43" customFormat="false" ht="12.8" hidden="false" customHeight="false" outlineLevel="0" collapsed="false">
      <c r="A43" s="1" t="s">
        <v>57</v>
      </c>
      <c r="B43" s="12"/>
      <c r="C43" s="12" t="n">
        <f aca="false">H39</f>
        <v>1500</v>
      </c>
      <c r="E43" s="21" t="s">
        <v>57</v>
      </c>
      <c r="F43" s="23" t="n">
        <f aca="false">F39+B43</f>
        <v>2500</v>
      </c>
      <c r="G43" s="23" t="n">
        <f aca="false">G39+C43</f>
        <v>2500</v>
      </c>
      <c r="H43" s="23" t="n">
        <f aca="false">F43-G43</f>
        <v>0</v>
      </c>
      <c r="I43" s="12"/>
    </row>
    <row r="44" customFormat="false" ht="12.8" hidden="false" customHeight="false" outlineLevel="0" collapsed="false">
      <c r="A44" s="1" t="s">
        <v>75</v>
      </c>
      <c r="B44" s="31" t="n">
        <f aca="false">-H33</f>
        <v>1402.05</v>
      </c>
      <c r="C44" s="32"/>
      <c r="E44" s="21" t="s">
        <v>28</v>
      </c>
      <c r="F44" s="23" t="n">
        <f aca="false">B44</f>
        <v>1402.05</v>
      </c>
      <c r="G44" s="23" t="n">
        <f aca="false">G33</f>
        <v>1402.05</v>
      </c>
      <c r="H44" s="23" t="n">
        <f aca="false">F44-G44</f>
        <v>0</v>
      </c>
      <c r="I44" s="12"/>
    </row>
    <row r="45" customFormat="false" ht="12.8" hidden="false" customHeight="false" outlineLevel="0" collapsed="false">
      <c r="A45" s="1" t="s">
        <v>69</v>
      </c>
      <c r="B45" s="12" t="n">
        <f aca="false">B12</f>
        <v>97.9500000000001</v>
      </c>
      <c r="C45" s="12"/>
      <c r="E45" s="21" t="s">
        <v>69</v>
      </c>
      <c r="F45" s="23" t="n">
        <f aca="false">B45</f>
        <v>97.9500000000001</v>
      </c>
      <c r="G45" s="23"/>
      <c r="H45" s="23" t="n">
        <f aca="false">F45-G45</f>
        <v>97.9500000000001</v>
      </c>
      <c r="I45" s="12"/>
    </row>
    <row r="46" customFormat="false" ht="12.8" hidden="false" customHeight="false" outlineLevel="0" collapsed="false">
      <c r="A46" s="15" t="s">
        <v>60</v>
      </c>
      <c r="B46" s="16" t="n">
        <f aca="false">SUM(B42:B45)</f>
        <v>1500</v>
      </c>
      <c r="C46" s="16" t="n">
        <f aca="false">SUM(C42:C45)</f>
        <v>1500</v>
      </c>
      <c r="E46" s="3" t="s">
        <v>61</v>
      </c>
      <c r="H46" s="6" t="n">
        <f aca="false">H43+H44</f>
        <v>0</v>
      </c>
      <c r="I46" s="6"/>
      <c r="J46" s="17" t="n">
        <f aca="false">C10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8.93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25</v>
      </c>
      <c r="B1" s="6" t="s">
        <v>26</v>
      </c>
      <c r="C1" s="6" t="s">
        <v>27</v>
      </c>
      <c r="D1" s="6" t="s">
        <v>28</v>
      </c>
      <c r="E1" s="3" t="s">
        <v>29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30</v>
      </c>
      <c r="B2" s="8" t="n">
        <v>1000</v>
      </c>
      <c r="C2" s="9" t="n">
        <f aca="false">B2</f>
        <v>1000</v>
      </c>
      <c r="D2" s="9" t="n">
        <v>0</v>
      </c>
      <c r="F2" s="1" t="s">
        <v>31</v>
      </c>
      <c r="G2" s="10" t="n">
        <v>0.25</v>
      </c>
    </row>
    <row r="3" customFormat="false" ht="12.8" hidden="false" customHeight="false" outlineLevel="0" collapsed="false">
      <c r="A3" s="1" t="s">
        <v>32</v>
      </c>
      <c r="B3" s="11" t="n">
        <v>183</v>
      </c>
      <c r="E3" s="1" t="s">
        <v>68</v>
      </c>
      <c r="F3" s="1" t="s">
        <v>34</v>
      </c>
      <c r="G3" s="12" t="n">
        <f aca="false">$B$2*G2</f>
        <v>250</v>
      </c>
    </row>
    <row r="4" customFormat="false" ht="12.8" hidden="false" customHeight="false" outlineLevel="0" collapsed="false">
      <c r="A4" s="1" t="s">
        <v>35</v>
      </c>
      <c r="B4" s="9" t="n">
        <f aca="false">ROUND(G3/2,2)</f>
        <v>125</v>
      </c>
      <c r="C4" s="9" t="n">
        <f aca="false">ROUND(C2-B4,2)</f>
        <v>875</v>
      </c>
      <c r="D4" s="9" t="n">
        <f aca="false">D2+B4</f>
        <v>125</v>
      </c>
      <c r="E4" s="1" t="s">
        <v>36</v>
      </c>
      <c r="F4" s="1" t="s">
        <v>37</v>
      </c>
      <c r="G4" s="13" t="n">
        <v>1</v>
      </c>
    </row>
    <row r="5" customFormat="false" ht="12.8" hidden="false" customHeight="false" outlineLevel="0" collapsed="false">
      <c r="A5" s="1" t="s">
        <v>76</v>
      </c>
      <c r="B5" s="11" t="n">
        <v>90</v>
      </c>
      <c r="C5" s="9"/>
      <c r="D5" s="9"/>
      <c r="G5" s="33"/>
    </row>
    <row r="6" customFormat="false" ht="12.8" hidden="false" customHeight="false" outlineLevel="0" collapsed="false">
      <c r="A6" s="1" t="s">
        <v>77</v>
      </c>
      <c r="B6" s="9" t="n">
        <f aca="false">ROUND($G$3*B5/Intro!$N$2,2)</f>
        <v>61.64</v>
      </c>
      <c r="C6" s="9" t="n">
        <f aca="false">ROUND(C4-B6,2)</f>
        <v>813.36</v>
      </c>
      <c r="D6" s="9" t="n">
        <f aca="false">D4+B6</f>
        <v>186.64</v>
      </c>
      <c r="E6" s="0"/>
      <c r="F6" s="0"/>
      <c r="G6" s="0"/>
    </row>
    <row r="7" customFormat="false" ht="12.8" hidden="false" customHeight="false" outlineLevel="0" collapsed="false">
      <c r="A7" s="1" t="s">
        <v>78</v>
      </c>
      <c r="B7" s="8" t="n">
        <v>725</v>
      </c>
      <c r="C7" s="9" t="n">
        <f aca="false">ROUND(C6-B7,2)</f>
        <v>88.36</v>
      </c>
      <c r="E7" s="1" t="s">
        <v>79</v>
      </c>
      <c r="F7" s="1" t="s">
        <v>80</v>
      </c>
      <c r="G7" s="12" t="n">
        <f aca="false">($B$2-$B$7)*G2</f>
        <v>68.75</v>
      </c>
    </row>
    <row r="8" customFormat="false" ht="12.8" hidden="false" customHeight="false" outlineLevel="0" collapsed="false">
      <c r="A8" s="1" t="s">
        <v>81</v>
      </c>
      <c r="B8" s="34" t="n">
        <f aca="false">Intro!$N$2-B5</f>
        <v>275</v>
      </c>
      <c r="C8" s="9"/>
      <c r="D8" s="9"/>
    </row>
    <row r="9" customFormat="false" ht="12.8" hidden="false" customHeight="false" outlineLevel="0" collapsed="false">
      <c r="A9" s="1" t="s">
        <v>82</v>
      </c>
      <c r="B9" s="9" t="n">
        <f aca="false">ROUND($G$7*B8/Intro!$N$2,2)</f>
        <v>51.8</v>
      </c>
      <c r="C9" s="9" t="n">
        <f aca="false">ROUND(C7-B9,2)</f>
        <v>36.56</v>
      </c>
      <c r="D9" s="9" t="n">
        <f aca="false">D6+B9</f>
        <v>238.44</v>
      </c>
      <c r="E9" s="1" t="s">
        <v>83</v>
      </c>
    </row>
    <row r="10" customFormat="false" ht="12.8" hidden="false" customHeight="false" outlineLevel="0" collapsed="false">
      <c r="A10" s="1" t="s">
        <v>40</v>
      </c>
      <c r="B10" s="9" t="n">
        <f aca="false">MIN(C9,G3)</f>
        <v>36.56</v>
      </c>
      <c r="C10" s="9" t="n">
        <f aca="false">C9-B10</f>
        <v>0</v>
      </c>
      <c r="D10" s="9"/>
      <c r="E10" s="1" t="s">
        <v>36</v>
      </c>
      <c r="F10" s="1" t="s">
        <v>37</v>
      </c>
      <c r="G10" s="13" t="n">
        <v>1</v>
      </c>
    </row>
    <row r="11" customFormat="false" ht="12.8" hidden="false" customHeight="false" outlineLevel="0" collapsed="false">
      <c r="A11" s="1" t="s">
        <v>11</v>
      </c>
      <c r="B11" s="14" t="n">
        <f aca="false">Intro!$N$5</f>
        <v>31</v>
      </c>
      <c r="E11" s="1" t="s">
        <v>41</v>
      </c>
    </row>
    <row r="12" customFormat="false" ht="12.8" hidden="false" customHeight="false" outlineLevel="0" collapsed="false">
      <c r="A12" s="1" t="s">
        <v>84</v>
      </c>
      <c r="B12" s="9" t="n">
        <v>0</v>
      </c>
      <c r="C12" s="9" t="n">
        <f aca="false">C10-B12</f>
        <v>0</v>
      </c>
      <c r="D12" s="12" t="n">
        <f aca="false">D9+B12</f>
        <v>238.44</v>
      </c>
      <c r="E12" s="1" t="s">
        <v>43</v>
      </c>
    </row>
    <row r="13" customFormat="false" ht="12.8" hidden="false" customHeight="false" outlineLevel="0" collapsed="false">
      <c r="A13" s="1" t="s">
        <v>45</v>
      </c>
      <c r="B13" s="9" t="n">
        <f aca="false">C12*$G$4</f>
        <v>0</v>
      </c>
      <c r="C13" s="9" t="n">
        <f aca="false">C12-B13</f>
        <v>0</v>
      </c>
      <c r="E13" s="1" t="s">
        <v>27</v>
      </c>
    </row>
    <row r="14" customFormat="false" ht="12.8" hidden="false" customHeight="false" outlineLevel="0" collapsed="false">
      <c r="A14" s="1" t="s">
        <v>46</v>
      </c>
      <c r="B14" s="8" t="n">
        <v>250</v>
      </c>
      <c r="E14" s="1" t="s">
        <v>47</v>
      </c>
    </row>
    <row r="15" customFormat="false" ht="12.8" hidden="false" customHeight="false" outlineLevel="0" collapsed="false">
      <c r="A15" s="1" t="s">
        <v>48</v>
      </c>
      <c r="B15" s="9" t="n">
        <f aca="false">B14-B13</f>
        <v>250</v>
      </c>
      <c r="D15" s="12"/>
      <c r="E15" s="1" t="s">
        <v>49</v>
      </c>
    </row>
    <row r="18" customFormat="false" ht="12.8" hidden="false" customHeight="false" outlineLevel="0" collapsed="false">
      <c r="A18" s="1" t="s">
        <v>50</v>
      </c>
      <c r="B18" s="1" t="s">
        <v>51</v>
      </c>
      <c r="C18" s="1" t="s">
        <v>52</v>
      </c>
      <c r="F18" s="1" t="s">
        <v>51</v>
      </c>
      <c r="G18" s="1" t="s">
        <v>52</v>
      </c>
      <c r="H18" s="1" t="s">
        <v>53</v>
      </c>
      <c r="I18" s="1" t="s">
        <v>54</v>
      </c>
    </row>
    <row r="19" customFormat="false" ht="12.8" hidden="false" customHeight="false" outlineLevel="0" collapsed="false">
      <c r="E19" s="1" t="s">
        <v>55</v>
      </c>
      <c r="G19" s="12" t="n">
        <f aca="false">$B$2</f>
        <v>1000</v>
      </c>
      <c r="H19" s="12" t="n">
        <f aca="false">F19-G19</f>
        <v>-1000</v>
      </c>
    </row>
    <row r="20" customFormat="false" ht="12.8" hidden="false" customHeight="false" outlineLevel="0" collapsed="false">
      <c r="A20" s="1" t="s">
        <v>85</v>
      </c>
      <c r="E20" s="1" t="s">
        <v>57</v>
      </c>
      <c r="F20" s="12" t="n">
        <f aca="false">$B$2</f>
        <v>1000</v>
      </c>
      <c r="H20" s="12" t="n">
        <f aca="false">F20-G20</f>
        <v>1000</v>
      </c>
    </row>
    <row r="21" customFormat="false" ht="12.8" hidden="false" customHeight="false" outlineLevel="0" collapsed="false">
      <c r="A21" s="1" t="s">
        <v>28</v>
      </c>
      <c r="C21" s="12" t="n">
        <f aca="false">B4</f>
        <v>125</v>
      </c>
      <c r="E21" s="1" t="s">
        <v>28</v>
      </c>
      <c r="G21" s="12" t="n">
        <f aca="false">C21</f>
        <v>125</v>
      </c>
      <c r="H21" s="12" t="n">
        <f aca="false">F21-G21</f>
        <v>-125</v>
      </c>
    </row>
    <row r="22" customFormat="false" ht="12.8" hidden="false" customHeight="false" outlineLevel="0" collapsed="false">
      <c r="A22" s="1" t="s">
        <v>58</v>
      </c>
      <c r="B22" s="9" t="n">
        <f aca="false">B4</f>
        <v>125</v>
      </c>
      <c r="E22" s="1" t="s">
        <v>59</v>
      </c>
      <c r="F22" s="12" t="n">
        <f aca="false">B22</f>
        <v>125</v>
      </c>
      <c r="H22" s="12" t="n">
        <f aca="false">F22-G22</f>
        <v>125</v>
      </c>
    </row>
    <row r="23" customFormat="false" ht="12.8" hidden="false" customHeight="false" outlineLevel="0" collapsed="false">
      <c r="A23" s="15" t="s">
        <v>60</v>
      </c>
      <c r="B23" s="16" t="n">
        <f aca="false">SUM(B20:B22)</f>
        <v>125</v>
      </c>
      <c r="C23" s="16" t="n">
        <f aca="false">SUM(C20:C22)</f>
        <v>125</v>
      </c>
      <c r="E23" s="3" t="s">
        <v>61</v>
      </c>
      <c r="H23" s="6" t="n">
        <f aca="false">H20+H21</f>
        <v>875</v>
      </c>
      <c r="I23" s="17" t="n">
        <f aca="false">C4</f>
        <v>875</v>
      </c>
    </row>
    <row r="24" customFormat="false" ht="12.8" hidden="false" customHeight="false" outlineLevel="0" collapsed="false">
      <c r="G24" s="12"/>
      <c r="H24" s="12"/>
    </row>
    <row r="25" customFormat="false" ht="12.8" hidden="false" customHeight="false" outlineLevel="0" collapsed="false">
      <c r="A25" s="1" t="s">
        <v>86</v>
      </c>
      <c r="E25" s="1" t="s">
        <v>57</v>
      </c>
      <c r="F25" s="12" t="n">
        <f aca="false">F20</f>
        <v>1000</v>
      </c>
      <c r="H25" s="12" t="n">
        <f aca="false">F25-G25</f>
        <v>1000</v>
      </c>
    </row>
    <row r="26" customFormat="false" ht="12.8" hidden="false" customHeight="false" outlineLevel="0" collapsed="false">
      <c r="A26" s="1" t="s">
        <v>28</v>
      </c>
      <c r="C26" s="12" t="n">
        <f aca="false">B6</f>
        <v>61.64</v>
      </c>
      <c r="E26" s="1" t="s">
        <v>28</v>
      </c>
      <c r="G26" s="12" t="n">
        <f aca="false">G21+C26</f>
        <v>186.64</v>
      </c>
      <c r="H26" s="12" t="n">
        <f aca="false">F26-G26</f>
        <v>-186.64</v>
      </c>
    </row>
    <row r="27" customFormat="false" ht="12.8" hidden="false" customHeight="false" outlineLevel="0" collapsed="false">
      <c r="A27" s="1" t="s">
        <v>58</v>
      </c>
      <c r="B27" s="9" t="n">
        <f aca="false">B6</f>
        <v>61.64</v>
      </c>
      <c r="E27" s="1" t="s">
        <v>59</v>
      </c>
      <c r="F27" s="12" t="n">
        <f aca="false">B27</f>
        <v>61.64</v>
      </c>
      <c r="H27" s="12" t="n">
        <f aca="false">F27-G27</f>
        <v>61.64</v>
      </c>
    </row>
    <row r="28" customFormat="false" ht="12.8" hidden="false" customHeight="false" outlineLevel="0" collapsed="false">
      <c r="A28" s="15" t="s">
        <v>60</v>
      </c>
      <c r="B28" s="16" t="n">
        <f aca="false">SUM(B25:B27)</f>
        <v>61.64</v>
      </c>
      <c r="C28" s="16" t="n">
        <f aca="false">SUM(C25:C27)</f>
        <v>61.64</v>
      </c>
      <c r="E28" s="3" t="s">
        <v>61</v>
      </c>
      <c r="H28" s="6" t="n">
        <f aca="false">H25+H26</f>
        <v>813.36</v>
      </c>
      <c r="I28" s="17" t="n">
        <f aca="false">C6</f>
        <v>813.36</v>
      </c>
    </row>
    <row r="30" customFormat="false" ht="12.8" hidden="false" customHeight="false" outlineLevel="0" collapsed="false">
      <c r="A30" s="1" t="s">
        <v>78</v>
      </c>
      <c r="E30" s="1" t="s">
        <v>57</v>
      </c>
      <c r="F30" s="12" t="n">
        <f aca="false">F25</f>
        <v>1000</v>
      </c>
      <c r="G30" s="12" t="n">
        <f aca="false">C31</f>
        <v>725</v>
      </c>
      <c r="H30" s="12" t="n">
        <f aca="false">F30-G30</f>
        <v>275</v>
      </c>
    </row>
    <row r="31" customFormat="false" ht="12.8" hidden="false" customHeight="false" outlineLevel="0" collapsed="false">
      <c r="A31" s="1" t="s">
        <v>57</v>
      </c>
      <c r="C31" s="12" t="n">
        <f aca="false">B7</f>
        <v>725</v>
      </c>
      <c r="E31" s="1" t="s">
        <v>28</v>
      </c>
      <c r="G31" s="12" t="n">
        <f aca="false">G26</f>
        <v>186.64</v>
      </c>
      <c r="H31" s="12" t="n">
        <f aca="false">F31-G31</f>
        <v>-186.64</v>
      </c>
    </row>
    <row r="32" customFormat="false" ht="12.8" hidden="false" customHeight="false" outlineLevel="0" collapsed="false">
      <c r="A32" s="1" t="s">
        <v>69</v>
      </c>
      <c r="B32" s="31" t="n">
        <f aca="false">B7</f>
        <v>725</v>
      </c>
      <c r="E32" s="1" t="s">
        <v>59</v>
      </c>
      <c r="F32" s="12" t="n">
        <f aca="false">F27</f>
        <v>61.64</v>
      </c>
      <c r="H32" s="12" t="n">
        <f aca="false">F32-G32</f>
        <v>61.64</v>
      </c>
    </row>
    <row r="33" customFormat="false" ht="12.8" hidden="false" customHeight="false" outlineLevel="0" collapsed="false">
      <c r="A33" s="15" t="s">
        <v>60</v>
      </c>
      <c r="B33" s="16" t="n">
        <f aca="false">SUM(B30:B32)</f>
        <v>725</v>
      </c>
      <c r="C33" s="16" t="n">
        <f aca="false">SUM(C30:C32)</f>
        <v>725</v>
      </c>
      <c r="E33" s="3" t="s">
        <v>61</v>
      </c>
      <c r="H33" s="6" t="n">
        <f aca="false">H30+H31</f>
        <v>88.36</v>
      </c>
      <c r="I33" s="17" t="n">
        <f aca="false">C7</f>
        <v>88.36</v>
      </c>
    </row>
    <row r="34" customFormat="false" ht="12.8" hidden="false" customHeight="false" outlineLevel="0" collapsed="false">
      <c r="A34" s="15"/>
      <c r="B34" s="16"/>
      <c r="C34" s="16"/>
    </row>
    <row r="35" customFormat="false" ht="12.8" hidden="false" customHeight="false" outlineLevel="0" collapsed="false">
      <c r="A35" s="1" t="s">
        <v>87</v>
      </c>
      <c r="E35" s="1" t="s">
        <v>57</v>
      </c>
      <c r="F35" s="12" t="n">
        <f aca="false">F30</f>
        <v>1000</v>
      </c>
      <c r="G35" s="12" t="n">
        <f aca="false">G30</f>
        <v>725</v>
      </c>
      <c r="H35" s="12" t="n">
        <f aca="false">F35-G35</f>
        <v>275</v>
      </c>
    </row>
    <row r="36" customFormat="false" ht="12.8" hidden="false" customHeight="false" outlineLevel="0" collapsed="false">
      <c r="A36" s="1" t="s">
        <v>28</v>
      </c>
      <c r="C36" s="12" t="n">
        <f aca="false">B9</f>
        <v>51.8</v>
      </c>
      <c r="E36" s="1" t="s">
        <v>28</v>
      </c>
      <c r="G36" s="12" t="n">
        <f aca="false">G31+C36</f>
        <v>238.44</v>
      </c>
      <c r="H36" s="12" t="n">
        <f aca="false">F36-G36</f>
        <v>-238.44</v>
      </c>
    </row>
    <row r="37" customFormat="false" ht="12.8" hidden="false" customHeight="false" outlineLevel="0" collapsed="false">
      <c r="A37" s="1" t="s">
        <v>58</v>
      </c>
      <c r="B37" s="9" t="n">
        <f aca="false">B9</f>
        <v>51.8</v>
      </c>
      <c r="E37" s="1" t="s">
        <v>59</v>
      </c>
      <c r="F37" s="12" t="n">
        <f aca="false">F32+B37</f>
        <v>113.44</v>
      </c>
      <c r="H37" s="12" t="n">
        <f aca="false">F37-G37</f>
        <v>113.44</v>
      </c>
    </row>
    <row r="38" customFormat="false" ht="12.8" hidden="false" customHeight="false" outlineLevel="0" collapsed="false">
      <c r="A38" s="15" t="s">
        <v>60</v>
      </c>
      <c r="B38" s="16" t="n">
        <f aca="false">SUM(B35:B37)</f>
        <v>51.8</v>
      </c>
      <c r="C38" s="16" t="n">
        <f aca="false">SUM(C35:C37)</f>
        <v>51.8</v>
      </c>
      <c r="E38" s="3" t="s">
        <v>61</v>
      </c>
      <c r="H38" s="6" t="n">
        <f aca="false">H35+H36</f>
        <v>36.56</v>
      </c>
      <c r="I38" s="17" t="n">
        <f aca="false">C9</f>
        <v>36.56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7.72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8" min="8" style="4" width="11.57"/>
    <col collapsed="false" customWidth="false" hidden="false" outlineLevel="0" max="1021" min="10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25</v>
      </c>
      <c r="B1" s="6" t="s">
        <v>26</v>
      </c>
      <c r="C1" s="6" t="s">
        <v>27</v>
      </c>
      <c r="D1" s="6" t="s">
        <v>28</v>
      </c>
      <c r="E1" s="3" t="s">
        <v>29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30</v>
      </c>
      <c r="B2" s="8" t="n">
        <v>2500</v>
      </c>
      <c r="C2" s="9" t="n">
        <f aca="false">B2</f>
        <v>2500</v>
      </c>
      <c r="D2" s="9" t="n">
        <v>0</v>
      </c>
      <c r="F2" s="1" t="s">
        <v>31</v>
      </c>
      <c r="G2" s="10" t="n">
        <v>0.24</v>
      </c>
    </row>
    <row r="3" customFormat="false" ht="12.8" hidden="false" customHeight="false" outlineLevel="0" collapsed="false">
      <c r="A3" s="1" t="s">
        <v>32</v>
      </c>
      <c r="B3" s="11" t="n">
        <v>92</v>
      </c>
      <c r="E3" s="1" t="s">
        <v>33</v>
      </c>
      <c r="F3" s="1" t="s">
        <v>34</v>
      </c>
      <c r="G3" s="12" t="n">
        <f aca="false">ROUND($B$2*G$2,2)</f>
        <v>600</v>
      </c>
    </row>
    <row r="4" customFormat="false" ht="12.8" hidden="false" customHeight="false" outlineLevel="0" collapsed="false">
      <c r="A4" s="1" t="s">
        <v>35</v>
      </c>
      <c r="B4" s="9" t="n">
        <f aca="false">ROUND($G$3*B3/Intro!$N$1,2)</f>
        <v>151.23</v>
      </c>
      <c r="C4" s="9" t="n">
        <f aca="false">ROUND(C2-B4,2)</f>
        <v>2348.77</v>
      </c>
      <c r="D4" s="9" t="n">
        <f aca="false">D2+B4</f>
        <v>151.23</v>
      </c>
      <c r="E4" s="1" t="s">
        <v>88</v>
      </c>
    </row>
    <row r="5" customFormat="false" ht="12.8" hidden="false" customHeight="false" outlineLevel="0" collapsed="false">
      <c r="A5" s="1" t="s">
        <v>89</v>
      </c>
      <c r="B5" s="11" t="n">
        <v>212</v>
      </c>
      <c r="C5" s="9"/>
      <c r="D5" s="9"/>
      <c r="E5" s="1" t="s">
        <v>41</v>
      </c>
      <c r="G5" s="33"/>
    </row>
    <row r="6" customFormat="false" ht="12.8" hidden="false" customHeight="false" outlineLevel="0" collapsed="false">
      <c r="A6" s="1" t="s">
        <v>90</v>
      </c>
      <c r="B6" s="9" t="n">
        <f aca="false">ROUND($G$3*B5/Intro!$N$2,2)</f>
        <v>348.49</v>
      </c>
      <c r="C6" s="9" t="n">
        <f aca="false">ROUND(C4-B6,2)</f>
        <v>2000.28</v>
      </c>
      <c r="D6" s="9" t="n">
        <f aca="false">D4+B6</f>
        <v>499.72</v>
      </c>
      <c r="E6" s="1" t="s">
        <v>91</v>
      </c>
      <c r="G6" s="33"/>
    </row>
    <row r="7" customFormat="false" ht="12.8" hidden="false" customHeight="false" outlineLevel="0" collapsed="false">
      <c r="A7" s="1" t="s">
        <v>92</v>
      </c>
      <c r="B7" s="9"/>
      <c r="C7" s="9" t="n">
        <f aca="false">ROUND(C6*G7,2)</f>
        <v>400.06</v>
      </c>
      <c r="E7" s="1" t="s">
        <v>93</v>
      </c>
      <c r="F7" s="1" t="s">
        <v>37</v>
      </c>
      <c r="G7" s="13" t="n">
        <v>0.2</v>
      </c>
    </row>
    <row r="8" customFormat="false" ht="12.8" hidden="false" customHeight="false" outlineLevel="0" collapsed="false">
      <c r="A8" s="1" t="s">
        <v>46</v>
      </c>
      <c r="B8" s="8" t="n">
        <v>525</v>
      </c>
      <c r="C8" s="9" t="n">
        <f aca="false">ROUND(C2-C7,2)</f>
        <v>2099.94</v>
      </c>
      <c r="D8" s="9"/>
      <c r="F8" s="1" t="s">
        <v>94</v>
      </c>
      <c r="G8" s="12" t="n">
        <f aca="false">ROUND((C8)*G$2,0) - 0.01</f>
        <v>503.99</v>
      </c>
    </row>
    <row r="9" customFormat="false" ht="12.8" hidden="false" customHeight="false" outlineLevel="0" collapsed="false">
      <c r="A9" s="1" t="s">
        <v>95</v>
      </c>
      <c r="B9" s="8" t="n">
        <f aca="false">ROUND(B8-C7,2)</f>
        <v>124.94</v>
      </c>
      <c r="C9" s="9"/>
      <c r="D9" s="9"/>
      <c r="G9" s="12"/>
    </row>
    <row r="10" customFormat="false" ht="12.8" hidden="false" customHeight="false" outlineLevel="0" collapsed="false">
      <c r="A10" s="1" t="s">
        <v>96</v>
      </c>
      <c r="B10" s="34" t="n">
        <f aca="false">Intro!$N$2-B5</f>
        <v>153</v>
      </c>
      <c r="C10" s="9"/>
      <c r="D10" s="9"/>
      <c r="I10" s="4"/>
    </row>
    <row r="11" customFormat="false" ht="12.8" hidden="false" customHeight="false" outlineLevel="0" collapsed="false">
      <c r="A11" s="1" t="s">
        <v>97</v>
      </c>
      <c r="B11" s="9" t="n">
        <f aca="false">ROUND($G$8*B10/Intro!$N$2,2)</f>
        <v>211.26</v>
      </c>
      <c r="C11" s="9" t="n">
        <f aca="false">C8-B11</f>
        <v>1888.68</v>
      </c>
      <c r="D11" s="9" t="n">
        <f aca="false">D6+B11</f>
        <v>710.98</v>
      </c>
      <c r="E11" s="1" t="s">
        <v>83</v>
      </c>
      <c r="G11" s="13"/>
    </row>
    <row r="12" customFormat="false" ht="12.8" hidden="false" customHeight="false" outlineLevel="0" collapsed="false">
      <c r="A12" s="1" t="s">
        <v>40</v>
      </c>
      <c r="B12" s="9" t="n">
        <f aca="false">G8</f>
        <v>503.99</v>
      </c>
      <c r="C12" s="9" t="n">
        <f aca="false">C11-B12</f>
        <v>1384.69</v>
      </c>
      <c r="D12" s="9" t="n">
        <f aca="false">D11+B12</f>
        <v>1214.97</v>
      </c>
      <c r="E12" s="1" t="s">
        <v>39</v>
      </c>
    </row>
    <row r="13" customFormat="false" ht="12.8" hidden="false" customHeight="false" outlineLevel="0" collapsed="false">
      <c r="A13" s="1" t="s">
        <v>11</v>
      </c>
      <c r="B13" s="14" t="n">
        <f aca="false">Intro!$N$5</f>
        <v>31</v>
      </c>
      <c r="E13" s="1" t="s">
        <v>41</v>
      </c>
      <c r="I13" s="4"/>
    </row>
    <row r="14" customFormat="false" ht="12.8" hidden="false" customHeight="false" outlineLevel="0" collapsed="false">
      <c r="A14" s="1" t="s">
        <v>84</v>
      </c>
      <c r="B14" s="9" t="n">
        <f aca="false">=ROUND($G$8*B13/Intro!$N$4,2)</f>
        <v>42.69</v>
      </c>
      <c r="C14" s="9" t="n">
        <f aca="false">ROUND(C12-B14,2)</f>
        <v>1342</v>
      </c>
      <c r="D14" s="9" t="n">
        <f aca="false">D12+B14</f>
        <v>1257.66</v>
      </c>
      <c r="E14" s="1" t="s">
        <v>39</v>
      </c>
    </row>
    <row r="15" customFormat="false" ht="12.8" hidden="false" customHeight="false" outlineLevel="0" collapsed="false">
      <c r="D15" s="12"/>
    </row>
    <row r="17" customFormat="false" ht="12.8" hidden="false" customHeight="false" outlineLevel="0" collapsed="false">
      <c r="A17" s="1" t="s">
        <v>50</v>
      </c>
      <c r="B17" s="1" t="s">
        <v>51</v>
      </c>
      <c r="C17" s="1" t="s">
        <v>52</v>
      </c>
      <c r="F17" s="1" t="s">
        <v>51</v>
      </c>
      <c r="G17" s="1" t="s">
        <v>52</v>
      </c>
      <c r="H17" s="1" t="s">
        <v>53</v>
      </c>
    </row>
    <row r="18" customFormat="false" ht="12.8" hidden="false" customHeight="false" outlineLevel="0" collapsed="false">
      <c r="E18" s="1" t="s">
        <v>55</v>
      </c>
      <c r="G18" s="12" t="n">
        <f aca="false">$B$2</f>
        <v>2500</v>
      </c>
      <c r="H18" s="12" t="n">
        <f aca="false">F18-G18</f>
        <v>-2500</v>
      </c>
    </row>
    <row r="19" customFormat="false" ht="12.8" hidden="false" customHeight="false" outlineLevel="0" collapsed="false">
      <c r="A19" s="1" t="s">
        <v>56</v>
      </c>
      <c r="E19" s="1" t="s">
        <v>57</v>
      </c>
      <c r="F19" s="12" t="n">
        <f aca="false">$B$2</f>
        <v>2500</v>
      </c>
      <c r="H19" s="12" t="n">
        <f aca="false">F19-G19</f>
        <v>2500</v>
      </c>
    </row>
    <row r="20" customFormat="false" ht="12.8" hidden="false" customHeight="false" outlineLevel="0" collapsed="false">
      <c r="A20" s="1" t="s">
        <v>28</v>
      </c>
      <c r="C20" s="12" t="n">
        <f aca="false">B4</f>
        <v>151.23</v>
      </c>
      <c r="E20" s="1" t="s">
        <v>28</v>
      </c>
      <c r="G20" s="12" t="n">
        <f aca="false">C20</f>
        <v>151.23</v>
      </c>
      <c r="H20" s="12" t="n">
        <f aca="false">F20-G20</f>
        <v>-151.23</v>
      </c>
    </row>
    <row r="21" customFormat="false" ht="12.8" hidden="false" customHeight="false" outlineLevel="0" collapsed="false">
      <c r="A21" s="1" t="s">
        <v>58</v>
      </c>
      <c r="B21" s="9" t="n">
        <f aca="false">B4</f>
        <v>151.23</v>
      </c>
      <c r="E21" s="1" t="s">
        <v>59</v>
      </c>
      <c r="F21" s="12" t="n">
        <f aca="false">B21</f>
        <v>151.23</v>
      </c>
      <c r="H21" s="12" t="n">
        <f aca="false">F21-G21</f>
        <v>151.23</v>
      </c>
    </row>
    <row r="22" customFormat="false" ht="12.8" hidden="false" customHeight="false" outlineLevel="0" collapsed="false">
      <c r="A22" s="15" t="s">
        <v>60</v>
      </c>
      <c r="B22" s="16" t="n">
        <f aca="false">SUM(B19:B21)</f>
        <v>151.23</v>
      </c>
      <c r="C22" s="16" t="n">
        <f aca="false">SUM(C19:C21)</f>
        <v>151.23</v>
      </c>
      <c r="E22" s="3" t="s">
        <v>61</v>
      </c>
      <c r="H22" s="6" t="n">
        <f aca="false">H19+H20</f>
        <v>2348.77</v>
      </c>
    </row>
    <row r="23" customFormat="false" ht="12.8" hidden="false" customHeight="false" outlineLevel="0" collapsed="false">
      <c r="G23" s="12"/>
      <c r="H23" s="12"/>
    </row>
    <row r="24" customFormat="false" ht="12.8" hidden="false" customHeight="false" outlineLevel="0" collapsed="false">
      <c r="A24" s="1" t="s">
        <v>62</v>
      </c>
      <c r="E24" s="1" t="s">
        <v>57</v>
      </c>
      <c r="F24" s="12" t="n">
        <f aca="false">$B$2</f>
        <v>2500</v>
      </c>
      <c r="H24" s="12" t="n">
        <f aca="false">F24-G24</f>
        <v>2500</v>
      </c>
    </row>
    <row r="25" customFormat="false" ht="12.8" hidden="false" customHeight="false" outlineLevel="0" collapsed="false">
      <c r="A25" s="1" t="s">
        <v>28</v>
      </c>
      <c r="C25" s="12" t="n">
        <f aca="false">B12</f>
        <v>503.99</v>
      </c>
      <c r="E25" s="1" t="s">
        <v>28</v>
      </c>
      <c r="G25" s="12" t="n">
        <f aca="false">G20+C25</f>
        <v>655.22</v>
      </c>
      <c r="H25" s="12" t="n">
        <f aca="false">F25-G25</f>
        <v>-655.22</v>
      </c>
    </row>
    <row r="26" customFormat="false" ht="12.8" hidden="false" customHeight="false" outlineLevel="0" collapsed="false">
      <c r="A26" s="1" t="s">
        <v>58</v>
      </c>
      <c r="B26" s="9" t="n">
        <f aca="false">B12</f>
        <v>503.99</v>
      </c>
      <c r="E26" s="1" t="s">
        <v>59</v>
      </c>
      <c r="F26" s="12" t="n">
        <f aca="false">B26</f>
        <v>503.99</v>
      </c>
      <c r="H26" s="12" t="n">
        <f aca="false">F26-G26</f>
        <v>503.99</v>
      </c>
    </row>
    <row r="27" customFormat="false" ht="12.8" hidden="false" customHeight="false" outlineLevel="0" collapsed="false">
      <c r="A27" s="15" t="s">
        <v>60</v>
      </c>
      <c r="B27" s="16" t="n">
        <f aca="false">SUM(B24:B26)</f>
        <v>503.99</v>
      </c>
      <c r="C27" s="16" t="n">
        <f aca="false">SUM(C24:C26)</f>
        <v>503.99</v>
      </c>
      <c r="E27" s="3" t="s">
        <v>61</v>
      </c>
      <c r="H27" s="6" t="n">
        <f aca="false">H24+H25</f>
        <v>1844.78</v>
      </c>
    </row>
    <row r="29" customFormat="false" ht="12.8" hidden="false" customHeight="false" outlineLevel="0" collapsed="false">
      <c r="A29" s="1" t="s">
        <v>63</v>
      </c>
      <c r="E29" s="1" t="s">
        <v>57</v>
      </c>
      <c r="F29" s="12" t="n">
        <f aca="false">$B$2</f>
        <v>2500</v>
      </c>
      <c r="H29" s="12" t="n">
        <f aca="false">F29-G29</f>
        <v>2500</v>
      </c>
    </row>
    <row r="30" customFormat="false" ht="12.8" hidden="false" customHeight="false" outlineLevel="0" collapsed="false">
      <c r="A30" s="1" t="s">
        <v>28</v>
      </c>
      <c r="C30" s="12" t="n">
        <f aca="false">B14</f>
        <v>503.99</v>
      </c>
      <c r="E30" s="1" t="s">
        <v>28</v>
      </c>
      <c r="G30" s="12" t="n">
        <f aca="false">G25+C30</f>
        <v>1159.21</v>
      </c>
      <c r="H30" s="12" t="n">
        <f aca="false">F30-G30</f>
        <v>-1159.21</v>
      </c>
    </row>
    <row r="31" customFormat="false" ht="12.8" hidden="false" customHeight="false" outlineLevel="0" collapsed="false">
      <c r="A31" s="1" t="s">
        <v>58</v>
      </c>
      <c r="B31" s="9" t="n">
        <f aca="false">B14</f>
        <v>503.99</v>
      </c>
      <c r="E31" s="1" t="s">
        <v>59</v>
      </c>
      <c r="F31" s="12" t="n">
        <f aca="false">B31</f>
        <v>503.99</v>
      </c>
      <c r="H31" s="12" t="n">
        <f aca="false">F31-G31</f>
        <v>503.99</v>
      </c>
    </row>
    <row r="32" customFormat="false" ht="12.8" hidden="false" customHeight="false" outlineLevel="0" collapsed="false">
      <c r="A32" s="15" t="s">
        <v>60</v>
      </c>
      <c r="B32" s="16" t="n">
        <f aca="false">SUM(B29:B31)</f>
        <v>503.99</v>
      </c>
      <c r="C32" s="16" t="n">
        <f aca="false">SUM(C29:C31)</f>
        <v>503.99</v>
      </c>
      <c r="E32" s="3" t="s">
        <v>61</v>
      </c>
      <c r="H32" s="6" t="n">
        <f aca="false">H29+H30</f>
        <v>1340.79</v>
      </c>
    </row>
    <row r="33" customFormat="false" ht="12.8" hidden="false" customHeight="false" outlineLevel="0" collapsed="false">
      <c r="A33" s="15"/>
      <c r="B33" s="16"/>
      <c r="C33" s="16"/>
    </row>
    <row r="34" customFormat="false" ht="12.8" hidden="false" customHeight="false" outlineLevel="0" collapsed="false">
      <c r="A34" s="1" t="s">
        <v>64</v>
      </c>
      <c r="E34" s="1" t="s">
        <v>57</v>
      </c>
      <c r="F34" s="12" t="n">
        <f aca="false">$B$2</f>
        <v>2500</v>
      </c>
      <c r="G34" s="12" t="e">
        <f aca="false">C36</f>
        <v>#REF!</v>
      </c>
      <c r="H34" s="12" t="e">
        <f aca="false">F34-G34</f>
        <v>#REF!</v>
      </c>
    </row>
    <row r="35" customFormat="false" ht="12.8" hidden="false" customHeight="false" outlineLevel="0" collapsed="false">
      <c r="A35" s="1" t="s">
        <v>65</v>
      </c>
      <c r="B35" s="12" t="e">
        <f aca="false">#REF!</f>
        <v>#REF!</v>
      </c>
      <c r="C35" s="12"/>
      <c r="E35" s="1" t="s">
        <v>28</v>
      </c>
      <c r="G35" s="12" t="n">
        <f aca="false">G30</f>
        <v>1159.21</v>
      </c>
      <c r="H35" s="12" t="n">
        <f aca="false">F35-G35</f>
        <v>-1159.21</v>
      </c>
    </row>
    <row r="36" customFormat="false" ht="12.8" hidden="false" customHeight="false" outlineLevel="0" collapsed="false">
      <c r="A36" s="1" t="s">
        <v>57</v>
      </c>
      <c r="B36" s="12"/>
      <c r="C36" s="12" t="e">
        <f aca="false">#REF!</f>
        <v>#REF!</v>
      </c>
      <c r="E36" s="1" t="s">
        <v>59</v>
      </c>
      <c r="F36" s="12" t="n">
        <f aca="false">B36</f>
        <v>0</v>
      </c>
      <c r="H36" s="12" t="n">
        <f aca="false">F36-G36</f>
        <v>0</v>
      </c>
    </row>
    <row r="37" customFormat="false" ht="12.8" hidden="false" customHeight="false" outlineLevel="0" collapsed="false">
      <c r="A37" s="15" t="s">
        <v>60</v>
      </c>
      <c r="B37" s="16" t="e">
        <f aca="false">SUM(B34:B36)</f>
        <v>#REF!</v>
      </c>
      <c r="C37" s="16" t="e">
        <f aca="false">SUM(C34:C36)</f>
        <v>#REF!</v>
      </c>
      <c r="E37" s="3" t="s">
        <v>61</v>
      </c>
      <c r="H37" s="6" t="e">
        <f aca="false">H34+H35</f>
        <v>#REF!</v>
      </c>
      <c r="I37" s="12"/>
    </row>
    <row r="39" customFormat="false" ht="12.8" hidden="false" customHeight="false" outlineLevel="0" collapsed="false">
      <c r="A39" s="1" t="s">
        <v>45</v>
      </c>
      <c r="E39" s="1" t="s">
        <v>57</v>
      </c>
      <c r="F39" s="12" t="e">
        <f aca="false">F34+B40</f>
        <v>#REF!</v>
      </c>
      <c r="G39" s="12" t="e">
        <f aca="false">G34+C43</f>
        <v>#REF!</v>
      </c>
      <c r="H39" s="12" t="e">
        <f aca="false">F39-G39</f>
        <v>#REF!</v>
      </c>
    </row>
    <row r="40" customFormat="false" ht="12.8" hidden="false" customHeight="false" outlineLevel="0" collapsed="false">
      <c r="A40" s="1" t="s">
        <v>57</v>
      </c>
      <c r="B40" s="12" t="e">
        <f aca="false">#REF!-G30*G7</f>
        <v>#REF!</v>
      </c>
      <c r="C40" s="12"/>
      <c r="E40" s="1" t="s">
        <v>28</v>
      </c>
      <c r="F40" s="12" t="n">
        <f aca="false">F30+B42</f>
        <v>231.842</v>
      </c>
      <c r="G40" s="12" t="n">
        <f aca="false">G30</f>
        <v>1159.21</v>
      </c>
      <c r="H40" s="12" t="n">
        <f aca="false">F40-G40</f>
        <v>-927.368</v>
      </c>
    </row>
    <row r="41" customFormat="false" ht="12.8" hidden="false" customHeight="false" outlineLevel="0" collapsed="false">
      <c r="A41" s="1" t="s">
        <v>48</v>
      </c>
      <c r="B41" s="12"/>
      <c r="C41" s="9" t="e">
        <f aca="false">#REF!</f>
        <v>#REF!</v>
      </c>
      <c r="E41" s="1" t="s">
        <v>59</v>
      </c>
      <c r="F41" s="12" t="n">
        <f aca="false">B41</f>
        <v>0</v>
      </c>
      <c r="H41" s="12" t="n">
        <f aca="false">F41-G41</f>
        <v>0</v>
      </c>
    </row>
    <row r="42" customFormat="false" ht="12.8" hidden="false" customHeight="false" outlineLevel="0" collapsed="false">
      <c r="A42" s="1" t="s">
        <v>28</v>
      </c>
      <c r="B42" s="12" t="n">
        <f aca="false">G30*G7</f>
        <v>231.842</v>
      </c>
      <c r="C42" s="12"/>
      <c r="E42" s="1" t="s">
        <v>48</v>
      </c>
      <c r="F42" s="12"/>
      <c r="G42" s="12" t="e">
        <f aca="false">C41</f>
        <v>#REF!</v>
      </c>
      <c r="H42" s="12" t="e">
        <f aca="false">F42-G42</f>
        <v>#REF!</v>
      </c>
    </row>
    <row r="43" customFormat="false" ht="12.8" hidden="false" customHeight="false" outlineLevel="0" collapsed="false">
      <c r="A43" s="1" t="s">
        <v>57</v>
      </c>
      <c r="B43" s="12"/>
      <c r="C43" s="12" t="n">
        <v>0</v>
      </c>
      <c r="E43" s="3" t="s">
        <v>61</v>
      </c>
      <c r="H43" s="6" t="e">
        <f aca="false">H39+H40</f>
        <v>#REF!</v>
      </c>
    </row>
    <row r="44" customFormat="false" ht="12.8" hidden="false" customHeight="false" outlineLevel="0" collapsed="false">
      <c r="A44" s="15" t="s">
        <v>60</v>
      </c>
      <c r="B44" s="16" t="e">
        <f aca="false">SUM(B39:B43)</f>
        <v>#REF!</v>
      </c>
      <c r="C44" s="16" t="e">
        <f aca="false">SUM(C39:C43)</f>
        <v>#REF!</v>
      </c>
    </row>
    <row r="46" customFormat="false" ht="12.8" hidden="false" customHeight="false" outlineLevel="0" collapsed="false">
      <c r="A46" s="1" t="s">
        <v>66</v>
      </c>
    </row>
    <row r="47" customFormat="false" ht="12.8" hidden="false" customHeight="false" outlineLevel="0" collapsed="false">
      <c r="A47" s="1" t="s">
        <v>57</v>
      </c>
      <c r="B47" s="12"/>
      <c r="C47" s="12" t="e">
        <f aca="false">C36-B40</f>
        <v>#REF!</v>
      </c>
      <c r="E47" s="1" t="s">
        <v>57</v>
      </c>
      <c r="F47" s="12" t="n">
        <f aca="false">F29</f>
        <v>2500</v>
      </c>
      <c r="G47" s="12" t="e">
        <f aca="false">G29+C47</f>
        <v>#REF!</v>
      </c>
      <c r="H47" s="12" t="e">
        <f aca="false">F47-G47</f>
        <v>#REF!</v>
      </c>
    </row>
    <row r="48" customFormat="false" ht="12.8" hidden="false" customHeight="false" outlineLevel="0" collapsed="false">
      <c r="A48" s="1" t="s">
        <v>48</v>
      </c>
      <c r="B48" s="12"/>
      <c r="C48" s="9" t="e">
        <f aca="false">C41</f>
        <v>#REF!</v>
      </c>
      <c r="E48" s="1" t="s">
        <v>28</v>
      </c>
      <c r="F48" s="12" t="n">
        <f aca="false">F30+B49</f>
        <v>231.842</v>
      </c>
      <c r="G48" s="12" t="n">
        <f aca="false">G30</f>
        <v>1159.21</v>
      </c>
      <c r="H48" s="12" t="n">
        <f aca="false">F48-G48</f>
        <v>-927.368</v>
      </c>
    </row>
    <row r="49" customFormat="false" ht="12.8" hidden="false" customHeight="false" outlineLevel="0" collapsed="false">
      <c r="A49" s="1" t="s">
        <v>28</v>
      </c>
      <c r="B49" s="12" t="n">
        <f aca="false">B42</f>
        <v>231.842</v>
      </c>
      <c r="C49" s="12"/>
      <c r="E49" s="1" t="s">
        <v>59</v>
      </c>
      <c r="F49" s="12" t="n">
        <v>0</v>
      </c>
      <c r="H49" s="12" t="n">
        <f aca="false">F49-G49</f>
        <v>0</v>
      </c>
    </row>
    <row r="50" customFormat="false" ht="12.8" hidden="false" customHeight="false" outlineLevel="0" collapsed="false">
      <c r="A50" s="1" t="s">
        <v>67</v>
      </c>
      <c r="B50" s="12" t="e">
        <f aca="false">#REF!</f>
        <v>#REF!</v>
      </c>
      <c r="C50" s="12"/>
      <c r="F50" s="12"/>
      <c r="H50" s="12"/>
    </row>
    <row r="51" customFormat="false" ht="12.8" hidden="false" customHeight="false" outlineLevel="0" collapsed="false">
      <c r="A51" s="15" t="s">
        <v>60</v>
      </c>
      <c r="B51" s="16" t="e">
        <f aca="false">SUM(B46:B50)</f>
        <v>#REF!</v>
      </c>
      <c r="C51" s="16" t="e">
        <f aca="false">SUM(C46:C50)</f>
        <v>#REF!</v>
      </c>
      <c r="E51" s="1" t="s">
        <v>48</v>
      </c>
      <c r="F51" s="12"/>
      <c r="G51" s="12" t="e">
        <f aca="false">C48</f>
        <v>#REF!</v>
      </c>
      <c r="H51" s="12" t="e">
        <f aca="false">F51-G51</f>
        <v>#REF!</v>
      </c>
    </row>
    <row r="52" customFormat="false" ht="12.8" hidden="false" customHeight="false" outlineLevel="0" collapsed="false">
      <c r="E52" s="3" t="s">
        <v>61</v>
      </c>
      <c r="H52" s="6" t="e">
        <f aca="false">H47+H48</f>
        <v>#REF!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A69" activeCellId="0" sqref="A6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5" width="34.07"/>
    <col collapsed="false" customWidth="true" hidden="false" outlineLevel="0" max="2" min="2" style="35" width="1.67"/>
    <col collapsed="false" customWidth="false" hidden="false" outlineLevel="0" max="3" min="3" style="36" width="11.53"/>
    <col collapsed="false" customWidth="true" hidden="false" outlineLevel="0" max="4" min="4" style="1" width="1.95"/>
  </cols>
  <sheetData>
    <row r="1" customFormat="false" ht="12.8" hidden="false" customHeight="false" outlineLevel="0" collapsed="false">
      <c r="A1" s="37" t="s">
        <v>98</v>
      </c>
      <c r="B1" s="38" t="s">
        <v>99</v>
      </c>
      <c r="C1" s="39" t="n">
        <f aca="false">'Completo #1'!G2</f>
        <v>0.35</v>
      </c>
      <c r="D1" s="1" t="s">
        <v>100</v>
      </c>
    </row>
    <row r="2" customFormat="false" ht="12.8" hidden="false" customHeight="false" outlineLevel="0" collapsed="false">
      <c r="A2" s="37" t="s">
        <v>101</v>
      </c>
      <c r="B2" s="38" t="s">
        <v>99</v>
      </c>
      <c r="C2" s="39" t="n">
        <f aca="false">'Completo #2'!G2</f>
        <v>0.24</v>
      </c>
      <c r="D2" s="1" t="s">
        <v>100</v>
      </c>
    </row>
    <row r="3" customFormat="false" ht="12.8" hidden="false" customHeight="false" outlineLevel="0" collapsed="false">
      <c r="A3" s="37"/>
      <c r="B3" s="38"/>
      <c r="C3" s="40"/>
    </row>
    <row r="4" customFormat="false" ht="12.8" hidden="false" customHeight="false" outlineLevel="0" collapsed="false">
      <c r="A4" s="37" t="s">
        <v>102</v>
      </c>
      <c r="B4" s="38" t="s">
        <v>99</v>
      </c>
      <c r="C4" s="41" t="s">
        <v>103</v>
      </c>
      <c r="D4" s="1" t="s">
        <v>100</v>
      </c>
    </row>
    <row r="5" customFormat="false" ht="12.8" hidden="false" customHeight="false" outlineLevel="0" collapsed="false">
      <c r="A5" s="37" t="s">
        <v>104</v>
      </c>
      <c r="B5" s="38" t="s">
        <v>99</v>
      </c>
      <c r="C5" s="40" t="n">
        <f aca="false">'Completo #1'!$B$2</f>
        <v>1000</v>
      </c>
      <c r="D5" s="1" t="s">
        <v>100</v>
      </c>
    </row>
    <row r="6" customFormat="false" ht="12.8" hidden="false" customHeight="false" outlineLevel="0" collapsed="false">
      <c r="A6" s="37" t="s">
        <v>105</v>
      </c>
      <c r="B6" s="38" t="s">
        <v>99</v>
      </c>
      <c r="C6" s="40" t="n">
        <f aca="false">'Completo #1'!$B$4</f>
        <v>175</v>
      </c>
      <c r="D6" s="1" t="s">
        <v>100</v>
      </c>
    </row>
    <row r="7" customFormat="false" ht="12.8" hidden="false" customHeight="false" outlineLevel="0" collapsed="false">
      <c r="A7" s="37" t="s">
        <v>106</v>
      </c>
      <c r="B7" s="38" t="s">
        <v>99</v>
      </c>
      <c r="C7" s="40" t="n">
        <f aca="false">'Completo #1'!D4</f>
        <v>175</v>
      </c>
      <c r="D7" s="1" t="s">
        <v>100</v>
      </c>
    </row>
    <row r="8" customFormat="false" ht="12.8" hidden="false" customHeight="false" outlineLevel="0" collapsed="false">
      <c r="A8" s="37" t="s">
        <v>107</v>
      </c>
      <c r="B8" s="38" t="s">
        <v>99</v>
      </c>
      <c r="C8" s="40" t="n">
        <f aca="false">'Completo #1'!$C$4</f>
        <v>825</v>
      </c>
      <c r="D8" s="1" t="s">
        <v>100</v>
      </c>
    </row>
    <row r="9" customFormat="false" ht="12.8" hidden="false" customHeight="false" outlineLevel="0" collapsed="false">
      <c r="A9" s="37" t="s">
        <v>108</v>
      </c>
      <c r="B9" s="38" t="s">
        <v>99</v>
      </c>
      <c r="C9" s="40" t="n">
        <f aca="false">'Completo #1'!$B$5</f>
        <v>350</v>
      </c>
      <c r="D9" s="1" t="s">
        <v>100</v>
      </c>
    </row>
    <row r="10" customFormat="false" ht="12.8" hidden="false" customHeight="false" outlineLevel="0" collapsed="false">
      <c r="A10" s="37" t="s">
        <v>109</v>
      </c>
      <c r="B10" s="38" t="s">
        <v>99</v>
      </c>
      <c r="C10" s="40" t="n">
        <f aca="false">'Completo #1'!D5</f>
        <v>525</v>
      </c>
      <c r="D10" s="1" t="s">
        <v>100</v>
      </c>
    </row>
    <row r="11" customFormat="false" ht="12.8" hidden="false" customHeight="false" outlineLevel="0" collapsed="false">
      <c r="A11" s="37" t="s">
        <v>110</v>
      </c>
      <c r="B11" s="38" t="s">
        <v>99</v>
      </c>
      <c r="C11" s="40" t="n">
        <f aca="false">'Completo #1'!$C$5</f>
        <v>475</v>
      </c>
      <c r="D11" s="1" t="s">
        <v>100</v>
      </c>
    </row>
    <row r="12" customFormat="false" ht="12.8" hidden="false" customHeight="false" outlineLevel="0" collapsed="false">
      <c r="A12" s="37" t="s">
        <v>111</v>
      </c>
      <c r="B12" s="38" t="s">
        <v>99</v>
      </c>
      <c r="C12" s="40" t="n">
        <f aca="false">'Completo #1'!$B$6</f>
        <v>350</v>
      </c>
      <c r="D12" s="1" t="s">
        <v>100</v>
      </c>
    </row>
    <row r="13" customFormat="false" ht="12.8" hidden="false" customHeight="false" outlineLevel="0" collapsed="false">
      <c r="A13" s="37" t="s">
        <v>112</v>
      </c>
      <c r="B13" s="38" t="s">
        <v>99</v>
      </c>
      <c r="C13" s="40" t="n">
        <f aca="false">'Completo #1'!D6</f>
        <v>875</v>
      </c>
      <c r="D13" s="1" t="s">
        <v>100</v>
      </c>
    </row>
    <row r="14" customFormat="false" ht="12.8" hidden="false" customHeight="false" outlineLevel="0" collapsed="false">
      <c r="A14" s="37" t="s">
        <v>113</v>
      </c>
      <c r="B14" s="38" t="s">
        <v>99</v>
      </c>
      <c r="C14" s="40" t="n">
        <f aca="false">'Completo #1'!$C$6</f>
        <v>125</v>
      </c>
      <c r="D14" s="1" t="s">
        <v>100</v>
      </c>
    </row>
    <row r="15" customFormat="false" ht="12.8" hidden="false" customHeight="false" outlineLevel="0" collapsed="false">
      <c r="A15" s="37" t="s">
        <v>114</v>
      </c>
      <c r="B15" s="38" t="s">
        <v>99</v>
      </c>
      <c r="C15" s="40" t="n">
        <f aca="false">'Completo #1'!B8</f>
        <v>29.64</v>
      </c>
      <c r="D15" s="1" t="s">
        <v>100</v>
      </c>
    </row>
    <row r="16" customFormat="false" ht="12.8" hidden="false" customHeight="false" outlineLevel="0" collapsed="false">
      <c r="A16" s="37" t="s">
        <v>115</v>
      </c>
      <c r="B16" s="38" t="s">
        <v>99</v>
      </c>
      <c r="C16" s="40" t="n">
        <f aca="false">'Completo #1'!D8</f>
        <v>904.64</v>
      </c>
      <c r="D16" s="1" t="s">
        <v>100</v>
      </c>
    </row>
    <row r="17" customFormat="false" ht="12.8" hidden="false" customHeight="false" outlineLevel="0" collapsed="false">
      <c r="A17" s="37" t="s">
        <v>116</v>
      </c>
      <c r="B17" s="38" t="s">
        <v>99</v>
      </c>
      <c r="C17" s="40" t="n">
        <f aca="false">'Completo #1'!C8</f>
        <v>95.36</v>
      </c>
      <c r="D17" s="1" t="s">
        <v>100</v>
      </c>
    </row>
    <row r="18" customFormat="false" ht="12.8" hidden="false" customHeight="false" outlineLevel="0" collapsed="false">
      <c r="A18" s="37" t="s">
        <v>117</v>
      </c>
      <c r="B18" s="38" t="s">
        <v>99</v>
      </c>
      <c r="C18" s="40" t="n">
        <f aca="false">'Completo #1'!B10</f>
        <v>14.34</v>
      </c>
      <c r="D18" s="1" t="s">
        <v>100</v>
      </c>
    </row>
    <row r="19" customFormat="false" ht="12.8" hidden="false" customHeight="false" outlineLevel="0" collapsed="false">
      <c r="A19" s="37" t="s">
        <v>118</v>
      </c>
      <c r="B19" s="38" t="s">
        <v>99</v>
      </c>
      <c r="C19" s="40" t="n">
        <f aca="false">'Completo #1'!D10</f>
        <v>889.34</v>
      </c>
      <c r="D19" s="1" t="s">
        <v>100</v>
      </c>
    </row>
    <row r="20" customFormat="false" ht="12.8" hidden="false" customHeight="false" outlineLevel="0" collapsed="false">
      <c r="A20" s="37" t="s">
        <v>119</v>
      </c>
      <c r="B20" s="38" t="s">
        <v>99</v>
      </c>
      <c r="C20" s="40" t="n">
        <f aca="false">'Completo #1'!C10</f>
        <v>110.66</v>
      </c>
      <c r="D20" s="1" t="s">
        <v>100</v>
      </c>
    </row>
    <row r="21" customFormat="false" ht="12.8" hidden="false" customHeight="false" outlineLevel="0" collapsed="false">
      <c r="A21" s="37" t="s">
        <v>120</v>
      </c>
      <c r="B21" s="38" t="s">
        <v>99</v>
      </c>
      <c r="C21" s="40" t="n">
        <f aca="false">'Completo #1'!B12</f>
        <v>400</v>
      </c>
      <c r="D21" s="1" t="s">
        <v>100</v>
      </c>
    </row>
    <row r="22" customFormat="false" ht="12.8" hidden="false" customHeight="false" outlineLevel="0" collapsed="false">
      <c r="A22" s="37" t="s">
        <v>121</v>
      </c>
      <c r="B22" s="38" t="s">
        <v>99</v>
      </c>
      <c r="C22" s="40" t="n">
        <f aca="false">'Completo #1'!B11</f>
        <v>110.66</v>
      </c>
      <c r="D22" s="1" t="s">
        <v>100</v>
      </c>
    </row>
    <row r="23" customFormat="false" ht="12.8" hidden="false" customHeight="false" outlineLevel="0" collapsed="false">
      <c r="A23" s="37" t="s">
        <v>122</v>
      </c>
      <c r="B23" s="38" t="s">
        <v>99</v>
      </c>
      <c r="C23" s="40" t="n">
        <f aca="false">'Completo #1'!B13</f>
        <v>289.34</v>
      </c>
      <c r="D23" s="1" t="s">
        <v>100</v>
      </c>
    </row>
    <row r="24" customFormat="false" ht="12.8" hidden="false" customHeight="false" outlineLevel="0" collapsed="false">
      <c r="A24" s="37"/>
      <c r="B24" s="38"/>
      <c r="C24" s="41"/>
    </row>
    <row r="25" customFormat="false" ht="12.8" hidden="false" customHeight="false" outlineLevel="0" collapsed="false">
      <c r="A25" s="37"/>
      <c r="B25" s="38"/>
      <c r="C25" s="41"/>
    </row>
    <row r="26" customFormat="false" ht="12.8" hidden="false" customHeight="false" outlineLevel="0" collapsed="false">
      <c r="A26" s="37" t="s">
        <v>123</v>
      </c>
      <c r="B26" s="38" t="s">
        <v>99</v>
      </c>
      <c r="C26" s="41" t="n">
        <v>250</v>
      </c>
      <c r="D26" s="1" t="s">
        <v>100</v>
      </c>
    </row>
    <row r="27" customFormat="false" ht="12.8" hidden="false" customHeight="false" outlineLevel="0" collapsed="false">
      <c r="A27" s="37" t="s">
        <v>124</v>
      </c>
      <c r="B27" s="38" t="s">
        <v>99</v>
      </c>
      <c r="C27" s="40" t="n">
        <f aca="false">'Completo #2'!$B$2</f>
        <v>2500</v>
      </c>
      <c r="D27" s="1" t="s">
        <v>100</v>
      </c>
    </row>
    <row r="28" customFormat="false" ht="12.8" hidden="false" customHeight="false" outlineLevel="0" collapsed="false">
      <c r="A28" s="37" t="s">
        <v>125</v>
      </c>
      <c r="B28" s="38" t="s">
        <v>99</v>
      </c>
      <c r="C28" s="40" t="n">
        <f aca="false">'Completo #2'!$B$4</f>
        <v>151.23</v>
      </c>
      <c r="D28" s="1" t="s">
        <v>100</v>
      </c>
    </row>
    <row r="29" customFormat="false" ht="12.8" hidden="false" customHeight="false" outlineLevel="0" collapsed="false">
      <c r="A29" s="37" t="s">
        <v>126</v>
      </c>
      <c r="B29" s="38" t="s">
        <v>99</v>
      </c>
      <c r="C29" s="40" t="n">
        <f aca="false">'Completo #2'!D4</f>
        <v>151.23</v>
      </c>
      <c r="D29" s="1" t="s">
        <v>100</v>
      </c>
    </row>
    <row r="30" customFormat="false" ht="12.8" hidden="false" customHeight="false" outlineLevel="0" collapsed="false">
      <c r="A30" s="37" t="s">
        <v>127</v>
      </c>
      <c r="B30" s="38" t="s">
        <v>99</v>
      </c>
      <c r="C30" s="40" t="n">
        <f aca="false">'Completo #2'!$C$4</f>
        <v>2348.77</v>
      </c>
      <c r="D30" s="1" t="s">
        <v>100</v>
      </c>
    </row>
    <row r="31" customFormat="false" ht="12.8" hidden="false" customHeight="false" outlineLevel="0" collapsed="false">
      <c r="A31" s="37" t="s">
        <v>128</v>
      </c>
      <c r="B31" s="38" t="s">
        <v>99</v>
      </c>
      <c r="C31" s="40" t="n">
        <f aca="false">'Completo #2'!$B$5</f>
        <v>600</v>
      </c>
      <c r="D31" s="1" t="s">
        <v>100</v>
      </c>
    </row>
    <row r="32" customFormat="false" ht="12.8" hidden="false" customHeight="false" outlineLevel="0" collapsed="false">
      <c r="A32" s="37" t="s">
        <v>129</v>
      </c>
      <c r="B32" s="38" t="s">
        <v>99</v>
      </c>
      <c r="C32" s="40" t="n">
        <f aca="false">'Completo #2'!D5</f>
        <v>751.23</v>
      </c>
      <c r="D32" s="1" t="s">
        <v>100</v>
      </c>
    </row>
    <row r="33" customFormat="false" ht="12.8" hidden="false" customHeight="false" outlineLevel="0" collapsed="false">
      <c r="A33" s="37" t="s">
        <v>130</v>
      </c>
      <c r="B33" s="38" t="s">
        <v>99</v>
      </c>
      <c r="C33" s="40" t="n">
        <f aca="false">'Completo #2'!$C$5</f>
        <v>1748.77</v>
      </c>
      <c r="D33" s="1" t="s">
        <v>100</v>
      </c>
    </row>
    <row r="34" customFormat="false" ht="12.8" hidden="false" customHeight="false" outlineLevel="0" collapsed="false">
      <c r="A34" s="37" t="s">
        <v>131</v>
      </c>
      <c r="B34" s="38" t="s">
        <v>99</v>
      </c>
      <c r="C34" s="40" t="n">
        <f aca="false">'Completo #2'!$B$6</f>
        <v>600</v>
      </c>
      <c r="D34" s="1" t="s">
        <v>100</v>
      </c>
    </row>
    <row r="35" customFormat="false" ht="12.8" hidden="false" customHeight="false" outlineLevel="0" collapsed="false">
      <c r="A35" s="37" t="s">
        <v>132</v>
      </c>
      <c r="B35" s="38" t="s">
        <v>99</v>
      </c>
      <c r="C35" s="40" t="n">
        <f aca="false">'Completo #2'!D6</f>
        <v>1351.23</v>
      </c>
      <c r="D35" s="1" t="s">
        <v>100</v>
      </c>
    </row>
    <row r="36" customFormat="false" ht="12.8" hidden="false" customHeight="false" outlineLevel="0" collapsed="false">
      <c r="A36" s="37" t="s">
        <v>133</v>
      </c>
      <c r="B36" s="38" t="s">
        <v>99</v>
      </c>
      <c r="C36" s="40" t="n">
        <f aca="false">'Completo #2'!$C$6</f>
        <v>1148.77</v>
      </c>
      <c r="D36" s="1" t="s">
        <v>100</v>
      </c>
    </row>
    <row r="37" customFormat="false" ht="12.8" hidden="false" customHeight="false" outlineLevel="0" collapsed="false">
      <c r="A37" s="37" t="s">
        <v>134</v>
      </c>
      <c r="B37" s="38" t="s">
        <v>99</v>
      </c>
      <c r="C37" s="40" t="n">
        <f aca="false">'Completo #2'!B8</f>
        <v>50.82</v>
      </c>
      <c r="D37" s="1" t="s">
        <v>100</v>
      </c>
    </row>
    <row r="38" customFormat="false" ht="12.8" hidden="false" customHeight="false" outlineLevel="0" collapsed="false">
      <c r="A38" s="37" t="s">
        <v>135</v>
      </c>
      <c r="B38" s="38" t="s">
        <v>99</v>
      </c>
      <c r="C38" s="40" t="n">
        <f aca="false">'Completo #2'!D8</f>
        <v>1402.05</v>
      </c>
      <c r="D38" s="1" t="s">
        <v>100</v>
      </c>
    </row>
    <row r="39" customFormat="false" ht="12.8" hidden="false" customHeight="false" outlineLevel="0" collapsed="false">
      <c r="A39" s="37" t="s">
        <v>136</v>
      </c>
      <c r="B39" s="38" t="s">
        <v>99</v>
      </c>
      <c r="C39" s="40" t="n">
        <f aca="false">'Completo #2'!C8</f>
        <v>1097.95</v>
      </c>
      <c r="D39" s="1" t="s">
        <v>100</v>
      </c>
    </row>
    <row r="40" customFormat="false" ht="12.8" hidden="false" customHeight="false" outlineLevel="0" collapsed="false">
      <c r="A40" s="37" t="s">
        <v>137</v>
      </c>
      <c r="B40" s="38" t="s">
        <v>99</v>
      </c>
      <c r="C40" s="40" t="n">
        <f aca="false">'Completo #2'!B11</f>
        <v>1000</v>
      </c>
      <c r="D40" s="1" t="s">
        <v>100</v>
      </c>
    </row>
    <row r="41" customFormat="false" ht="12.8" hidden="false" customHeight="false" outlineLevel="0" collapsed="false">
      <c r="A41" s="37" t="s">
        <v>138</v>
      </c>
      <c r="B41" s="38" t="s">
        <v>99</v>
      </c>
      <c r="C41" s="40" t="n">
        <f aca="false">'Completo #2'!B12</f>
        <v>97.9500000000001</v>
      </c>
    </row>
    <row r="42" customFormat="false" ht="12.8" hidden="false" customHeight="false" outlineLevel="0" collapsed="false">
      <c r="A42" s="37"/>
      <c r="B42" s="38"/>
      <c r="C42" s="41"/>
    </row>
    <row r="43" customFormat="false" ht="12.8" hidden="false" customHeight="false" outlineLevel="0" collapsed="false">
      <c r="A43" s="37"/>
      <c r="B43" s="38"/>
      <c r="C43" s="41"/>
    </row>
    <row r="44" customFormat="false" ht="12.8" hidden="false" customHeight="false" outlineLevel="0" collapsed="false">
      <c r="A44" s="37" t="s">
        <v>139</v>
      </c>
      <c r="B44" s="38" t="s">
        <v>99</v>
      </c>
      <c r="C44" s="41" t="s">
        <v>103</v>
      </c>
      <c r="D44" s="1" t="s">
        <v>100</v>
      </c>
    </row>
    <row r="45" customFormat="false" ht="12.8" hidden="false" customHeight="false" outlineLevel="0" collapsed="false">
      <c r="A45" s="37" t="s">
        <v>140</v>
      </c>
      <c r="B45" s="38" t="s">
        <v>99</v>
      </c>
      <c r="C45" s="40" t="n">
        <f aca="false">'Svalutazione #3'!$B$2</f>
        <v>1000</v>
      </c>
      <c r="D45" s="1" t="s">
        <v>100</v>
      </c>
    </row>
    <row r="46" customFormat="false" ht="12.8" hidden="false" customHeight="false" outlineLevel="0" collapsed="false">
      <c r="A46" s="37" t="s">
        <v>141</v>
      </c>
      <c r="B46" s="38" t="s">
        <v>99</v>
      </c>
      <c r="C46" s="40" t="n">
        <f aca="false">'Svalutazione #3'!$B$4</f>
        <v>125</v>
      </c>
      <c r="D46" s="1" t="s">
        <v>100</v>
      </c>
    </row>
    <row r="47" customFormat="false" ht="12.8" hidden="false" customHeight="false" outlineLevel="0" collapsed="false">
      <c r="A47" s="37" t="s">
        <v>142</v>
      </c>
      <c r="B47" s="38" t="s">
        <v>99</v>
      </c>
      <c r="C47" s="40" t="n">
        <f aca="false">C46</f>
        <v>125</v>
      </c>
      <c r="D47" s="1" t="s">
        <v>100</v>
      </c>
    </row>
    <row r="48" customFormat="false" ht="12.8" hidden="false" customHeight="false" outlineLevel="0" collapsed="false">
      <c r="A48" s="37" t="s">
        <v>143</v>
      </c>
      <c r="B48" s="38" t="s">
        <v>99</v>
      </c>
      <c r="C48" s="40" t="n">
        <f aca="false">'Svalutazione #3'!$C$4</f>
        <v>875</v>
      </c>
      <c r="D48" s="1" t="s">
        <v>100</v>
      </c>
    </row>
    <row r="49" customFormat="false" ht="12.8" hidden="false" customHeight="false" outlineLevel="0" collapsed="false">
      <c r="A49" s="37" t="s">
        <v>144</v>
      </c>
      <c r="B49" s="38" t="s">
        <v>99</v>
      </c>
      <c r="C49" s="40" t="n">
        <f aca="false">'Svalutazione #3'!$B$6</f>
        <v>61.64</v>
      </c>
      <c r="D49" s="1" t="s">
        <v>100</v>
      </c>
    </row>
    <row r="50" customFormat="false" ht="12.8" hidden="false" customHeight="false" outlineLevel="0" collapsed="false">
      <c r="A50" s="37" t="s">
        <v>145</v>
      </c>
      <c r="B50" s="38" t="s">
        <v>99</v>
      </c>
      <c r="C50" s="40" t="n">
        <f aca="false">C47+C49</f>
        <v>186.64</v>
      </c>
      <c r="D50" s="1" t="s">
        <v>100</v>
      </c>
    </row>
    <row r="51" customFormat="false" ht="12.8" hidden="false" customHeight="false" outlineLevel="0" collapsed="false">
      <c r="A51" s="37" t="s">
        <v>146</v>
      </c>
      <c r="B51" s="38" t="s">
        <v>99</v>
      </c>
      <c r="C51" s="40" t="n">
        <f aca="false">'Svalutazione #3'!$C$6</f>
        <v>813.36</v>
      </c>
      <c r="D51" s="1" t="s">
        <v>100</v>
      </c>
    </row>
    <row r="52" customFormat="false" ht="12.8" hidden="false" customHeight="false" outlineLevel="0" collapsed="false">
      <c r="A52" s="37" t="s">
        <v>147</v>
      </c>
      <c r="B52" s="38" t="s">
        <v>99</v>
      </c>
      <c r="C52" s="40" t="n">
        <f aca="false">'Svalutazione #3'!$B$7</f>
        <v>725</v>
      </c>
      <c r="D52" s="1" t="s">
        <v>100</v>
      </c>
    </row>
    <row r="53" customFormat="false" ht="12.8" hidden="false" customHeight="false" outlineLevel="0" collapsed="false">
      <c r="A53" s="37" t="s">
        <v>148</v>
      </c>
      <c r="B53" s="38" t="s">
        <v>99</v>
      </c>
      <c r="C53" s="40" t="n">
        <f aca="false">'Svalutazione #3'!B9</f>
        <v>51.8</v>
      </c>
      <c r="D53" s="1" t="s">
        <v>100</v>
      </c>
    </row>
    <row r="54" customFormat="false" ht="12.8" hidden="false" customHeight="false" outlineLevel="0" collapsed="false">
      <c r="A54" s="37" t="s">
        <v>149</v>
      </c>
      <c r="B54" s="38" t="s">
        <v>99</v>
      </c>
      <c r="C54" s="40" t="n">
        <f aca="false">C46+C49+C53</f>
        <v>238.44</v>
      </c>
      <c r="D54" s="1" t="s">
        <v>100</v>
      </c>
    </row>
    <row r="55" customFormat="false" ht="12.8" hidden="false" customHeight="false" outlineLevel="0" collapsed="false">
      <c r="A55" s="37" t="s">
        <v>150</v>
      </c>
      <c r="B55" s="38" t="s">
        <v>99</v>
      </c>
      <c r="C55" s="40" t="n">
        <f aca="false">'Svalutazione #3'!B2-'Svalutazione #3'!B7</f>
        <v>275</v>
      </c>
      <c r="D55" s="1" t="s">
        <v>100</v>
      </c>
    </row>
    <row r="56" customFormat="false" ht="12.8" hidden="false" customHeight="false" outlineLevel="0" collapsed="false">
      <c r="A56" s="37" t="s">
        <v>151</v>
      </c>
      <c r="B56" s="38" t="s">
        <v>99</v>
      </c>
      <c r="C56" s="40" t="n">
        <f aca="false">'Svalutazione #3'!$C$9</f>
        <v>36.56</v>
      </c>
      <c r="D56" s="1" t="s">
        <v>100</v>
      </c>
    </row>
    <row r="57" customFormat="false" ht="12.8" hidden="false" customHeight="false" outlineLevel="0" collapsed="false">
      <c r="A57" s="37" t="s">
        <v>152</v>
      </c>
      <c r="B57" s="38" t="s">
        <v>99</v>
      </c>
      <c r="C57" s="40" t="n">
        <f aca="false">C49+C53</f>
        <v>113.44</v>
      </c>
      <c r="D57" s="1" t="s">
        <v>100</v>
      </c>
    </row>
    <row r="58" customFormat="false" ht="12.8" hidden="false" customHeight="false" outlineLevel="0" collapsed="false">
      <c r="A58" s="37" t="s">
        <v>153</v>
      </c>
      <c r="B58" s="38" t="s">
        <v>99</v>
      </c>
      <c r="C58" s="40" t="n">
        <f aca="false">C46+C49+C53</f>
        <v>238.44</v>
      </c>
      <c r="D58" s="1" t="s">
        <v>100</v>
      </c>
    </row>
    <row r="59" customFormat="false" ht="12.8" hidden="false" customHeight="false" outlineLevel="0" collapsed="false">
      <c r="A59" s="37" t="s">
        <v>154</v>
      </c>
      <c r="B59" s="38" t="s">
        <v>99</v>
      </c>
      <c r="C59" s="40" t="n">
        <f aca="false">'Svalutazione #3'!$C$9</f>
        <v>36.56</v>
      </c>
      <c r="D59" s="1" t="s">
        <v>100</v>
      </c>
    </row>
    <row r="60" customFormat="false" ht="12.8" hidden="false" customHeight="false" outlineLevel="0" collapsed="false">
      <c r="A60" s="37" t="s">
        <v>155</v>
      </c>
      <c r="B60" s="38" t="s">
        <v>99</v>
      </c>
      <c r="C60" s="40" t="n">
        <f aca="false">'Svalutazione #3'!B10</f>
        <v>36.56</v>
      </c>
      <c r="D60" s="1" t="s">
        <v>100</v>
      </c>
    </row>
    <row r="61" customFormat="false" ht="12.8" hidden="false" customHeight="false" outlineLevel="0" collapsed="false">
      <c r="A61" s="37" t="s">
        <v>156</v>
      </c>
      <c r="B61" s="38" t="s">
        <v>99</v>
      </c>
      <c r="C61" s="40" t="n">
        <f aca="false">C58+C60</f>
        <v>275</v>
      </c>
      <c r="D61" s="1" t="s">
        <v>100</v>
      </c>
    </row>
    <row r="62" customFormat="false" ht="12.8" hidden="false" customHeight="false" outlineLevel="0" collapsed="false">
      <c r="A62" s="37" t="s">
        <v>157</v>
      </c>
      <c r="B62" s="38" t="s">
        <v>99</v>
      </c>
      <c r="C62" s="40" t="n">
        <f aca="false">'Svalutazione #3'!C13</f>
        <v>0</v>
      </c>
      <c r="D62" s="1" t="s">
        <v>100</v>
      </c>
    </row>
    <row r="63" customFormat="false" ht="12.8" hidden="false" customHeight="false" outlineLevel="0" collapsed="false">
      <c r="A63" s="37" t="s">
        <v>158</v>
      </c>
      <c r="B63" s="38" t="s">
        <v>99</v>
      </c>
      <c r="C63" s="40" t="n">
        <f aca="false">'Svalutazione #3'!B12</f>
        <v>0</v>
      </c>
      <c r="D63" s="1" t="s">
        <v>100</v>
      </c>
    </row>
    <row r="64" customFormat="false" ht="12.8" hidden="false" customHeight="false" outlineLevel="0" collapsed="false">
      <c r="A64" s="37" t="s">
        <v>159</v>
      </c>
      <c r="B64" s="38" t="s">
        <v>99</v>
      </c>
      <c r="C64" s="40" t="n">
        <f aca="false">'Svalutazione #3'!D12</f>
        <v>238.44</v>
      </c>
      <c r="D64" s="1" t="s">
        <v>100</v>
      </c>
    </row>
    <row r="65" customFormat="false" ht="12.8" hidden="false" customHeight="false" outlineLevel="0" collapsed="false">
      <c r="A65" s="37" t="s">
        <v>160</v>
      </c>
      <c r="B65" s="38" t="s">
        <v>99</v>
      </c>
      <c r="C65" s="40" t="n">
        <f aca="false">'Svalutazione #3'!C12</f>
        <v>0</v>
      </c>
      <c r="D65" s="1" t="s">
        <v>100</v>
      </c>
    </row>
    <row r="66" customFormat="false" ht="12.8" hidden="false" customHeight="false" outlineLevel="0" collapsed="false">
      <c r="A66" s="37" t="s">
        <v>161</v>
      </c>
      <c r="B66" s="38" t="s">
        <v>99</v>
      </c>
      <c r="C66" s="40" t="n">
        <f aca="false">'Svalutazione #3'!B12</f>
        <v>0</v>
      </c>
      <c r="D66" s="1" t="s">
        <v>100</v>
      </c>
    </row>
    <row r="67" customFormat="false" ht="12.8" hidden="false" customHeight="false" outlineLevel="0" collapsed="false">
      <c r="A67" s="37" t="s">
        <v>162</v>
      </c>
      <c r="B67" s="38" t="s">
        <v>99</v>
      </c>
      <c r="C67" s="40" t="n">
        <f aca="false">'Completo #1'!D58</f>
        <v>0</v>
      </c>
      <c r="D67" s="1" t="s">
        <v>100</v>
      </c>
    </row>
    <row r="68" customFormat="false" ht="12.8" hidden="false" customHeight="false" outlineLevel="0" collapsed="false">
      <c r="A68" s="37" t="s">
        <v>163</v>
      </c>
      <c r="B68" s="38" t="s">
        <v>99</v>
      </c>
      <c r="C68" s="40" t="n">
        <f aca="false">'Svalutazione #3'!C12</f>
        <v>0</v>
      </c>
      <c r="D68" s="1" t="s">
        <v>100</v>
      </c>
    </row>
    <row r="69" customFormat="false" ht="12.8" hidden="false" customHeight="false" outlineLevel="0" collapsed="false">
      <c r="A69" s="37" t="s">
        <v>164</v>
      </c>
      <c r="B69" s="38" t="s">
        <v>99</v>
      </c>
      <c r="C69" s="40" t="n">
        <f aca="false">'Svalutazione #3'!B14</f>
        <v>250</v>
      </c>
      <c r="D69" s="1" t="s">
        <v>100</v>
      </c>
    </row>
    <row r="70" customFormat="false" ht="12.8" hidden="false" customHeight="false" outlineLevel="0" collapsed="false">
      <c r="A70" s="37" t="s">
        <v>165</v>
      </c>
      <c r="B70" s="38" t="s">
        <v>99</v>
      </c>
      <c r="C70" s="40" t="n">
        <f aca="false">'Svalutazione #3'!B14</f>
        <v>250</v>
      </c>
      <c r="D70" s="1" t="s">
        <v>100</v>
      </c>
    </row>
    <row r="71" customFormat="false" ht="12.8" hidden="false" customHeight="false" outlineLevel="0" collapsed="false">
      <c r="A71" s="37" t="s">
        <v>166</v>
      </c>
      <c r="B71" s="38" t="s">
        <v>99</v>
      </c>
      <c r="C71" s="40" t="n">
        <f aca="false">'Svalutazione #3'!B15</f>
        <v>250</v>
      </c>
      <c r="D71" s="1" t="s">
        <v>100</v>
      </c>
    </row>
    <row r="72" customFormat="false" ht="12.8" hidden="false" customHeight="false" outlineLevel="0" collapsed="false">
      <c r="A72" s="37"/>
      <c r="B72" s="38"/>
      <c r="C72" s="41"/>
    </row>
    <row r="73" customFormat="false" ht="12.8" hidden="false" customHeight="false" outlineLevel="0" collapsed="false">
      <c r="A73" s="37"/>
      <c r="B73" s="38"/>
      <c r="C73" s="41"/>
    </row>
    <row r="74" customFormat="false" ht="12.8" hidden="false" customHeight="false" outlineLevel="0" collapsed="false">
      <c r="A74" s="37" t="s">
        <v>167</v>
      </c>
      <c r="B74" s="38" t="s">
        <v>99</v>
      </c>
      <c r="C74" s="41" t="n">
        <v>250</v>
      </c>
      <c r="D74" s="1" t="s">
        <v>100</v>
      </c>
    </row>
    <row r="75" customFormat="false" ht="12.8" hidden="false" customHeight="false" outlineLevel="0" collapsed="false">
      <c r="A75" s="37" t="s">
        <v>168</v>
      </c>
      <c r="B75" s="38" t="s">
        <v>99</v>
      </c>
      <c r="C75" s="40" t="n">
        <f aca="false">'Parziale #4'!$B$2</f>
        <v>2500</v>
      </c>
      <c r="D75" s="1" t="s">
        <v>100</v>
      </c>
    </row>
    <row r="76" customFormat="false" ht="12.8" hidden="false" customHeight="false" outlineLevel="0" collapsed="false">
      <c r="A76" s="37" t="s">
        <v>169</v>
      </c>
      <c r="B76" s="38" t="s">
        <v>99</v>
      </c>
      <c r="C76" s="40" t="n">
        <f aca="false">'Parziale #4'!$B$4</f>
        <v>151.23</v>
      </c>
      <c r="D76" s="1" t="s">
        <v>100</v>
      </c>
    </row>
    <row r="77" customFormat="false" ht="12.8" hidden="false" customHeight="false" outlineLevel="0" collapsed="false">
      <c r="A77" s="37" t="s">
        <v>170</v>
      </c>
      <c r="B77" s="38" t="s">
        <v>99</v>
      </c>
      <c r="C77" s="40" t="n">
        <f aca="false">C76</f>
        <v>151.23</v>
      </c>
      <c r="D77" s="1" t="s">
        <v>100</v>
      </c>
    </row>
    <row r="78" customFormat="false" ht="12.8" hidden="false" customHeight="false" outlineLevel="0" collapsed="false">
      <c r="A78" s="37" t="s">
        <v>171</v>
      </c>
      <c r="B78" s="38" t="s">
        <v>99</v>
      </c>
      <c r="C78" s="40" t="n">
        <f aca="false">'Parziale #4'!$C$4</f>
        <v>2348.77</v>
      </c>
      <c r="D78" s="1" t="s">
        <v>100</v>
      </c>
    </row>
    <row r="79" customFormat="false" ht="12.8" hidden="false" customHeight="false" outlineLevel="0" collapsed="false">
      <c r="A79" s="37" t="s">
        <v>172</v>
      </c>
      <c r="B79" s="38" t="s">
        <v>99</v>
      </c>
      <c r="C79" s="40" t="n">
        <f aca="false">'Parziale #4'!B6</f>
        <v>348.49</v>
      </c>
      <c r="D79" s="1" t="s">
        <v>100</v>
      </c>
    </row>
    <row r="80" customFormat="false" ht="12.8" hidden="false" customHeight="false" outlineLevel="0" collapsed="false">
      <c r="A80" s="37" t="s">
        <v>173</v>
      </c>
      <c r="B80" s="38" t="s">
        <v>99</v>
      </c>
      <c r="C80" s="40" t="n">
        <f aca="false">C77+C79</f>
        <v>499.72</v>
      </c>
      <c r="D80" s="1" t="s">
        <v>100</v>
      </c>
    </row>
    <row r="81" customFormat="false" ht="12.8" hidden="false" customHeight="false" outlineLevel="0" collapsed="false">
      <c r="A81" s="37" t="s">
        <v>174</v>
      </c>
      <c r="B81" s="38" t="s">
        <v>99</v>
      </c>
      <c r="C81" s="40" t="n">
        <f aca="false">'Parziale #4'!C6</f>
        <v>2000.28</v>
      </c>
      <c r="D81" s="1" t="s">
        <v>100</v>
      </c>
    </row>
    <row r="82" customFormat="false" ht="12.8" hidden="false" customHeight="false" outlineLevel="0" collapsed="false">
      <c r="A82" s="37" t="s">
        <v>175</v>
      </c>
      <c r="B82" s="38" t="s">
        <v>99</v>
      </c>
      <c r="C82" s="41" t="n">
        <v>0.2</v>
      </c>
      <c r="D82" s="1" t="s">
        <v>100</v>
      </c>
    </row>
    <row r="83" customFormat="false" ht="12.8" hidden="false" customHeight="false" outlineLevel="0" collapsed="false">
      <c r="A83" s="37" t="s">
        <v>176</v>
      </c>
      <c r="B83" s="38" t="s">
        <v>99</v>
      </c>
      <c r="C83" s="40" t="n">
        <f aca="false">'Parziale #4'!B8</f>
        <v>525</v>
      </c>
      <c r="D83" s="1" t="s">
        <v>100</v>
      </c>
    </row>
    <row r="84" customFormat="false" ht="12.8" hidden="false" customHeight="false" outlineLevel="0" collapsed="false">
      <c r="A84" s="37" t="s">
        <v>177</v>
      </c>
      <c r="B84" s="38" t="s">
        <v>99</v>
      </c>
      <c r="C84" s="40" t="n">
        <f aca="false">'Parziale #4'!C7</f>
        <v>400.06</v>
      </c>
      <c r="D84" s="1" t="s">
        <v>100</v>
      </c>
    </row>
    <row r="85" customFormat="false" ht="12.8" hidden="false" customHeight="false" outlineLevel="0" collapsed="false">
      <c r="A85" s="37" t="s">
        <v>178</v>
      </c>
      <c r="B85" s="38" t="s">
        <v>99</v>
      </c>
      <c r="C85" s="40" t="n">
        <f aca="false">'Parziale #4'!B9</f>
        <v>124.94</v>
      </c>
      <c r="D85" s="1" t="s">
        <v>100</v>
      </c>
    </row>
    <row r="86" customFormat="false" ht="12.8" hidden="false" customHeight="false" outlineLevel="0" collapsed="false">
      <c r="A86" s="37" t="s">
        <v>179</v>
      </c>
      <c r="B86" s="38" t="s">
        <v>99</v>
      </c>
      <c r="C86" s="40" t="n">
        <f aca="false">'Parziale #4'!B11</f>
        <v>211.26</v>
      </c>
      <c r="D86" s="1" t="s">
        <v>100</v>
      </c>
    </row>
    <row r="87" customFormat="false" ht="12.8" hidden="false" customHeight="false" outlineLevel="0" collapsed="false">
      <c r="A87" s="37" t="s">
        <v>180</v>
      </c>
      <c r="B87" s="38" t="s">
        <v>99</v>
      </c>
      <c r="C87" s="40" t="n">
        <f aca="false">'Parziale #4'!C11</f>
        <v>1888.68</v>
      </c>
      <c r="D87" s="1" t="s">
        <v>100</v>
      </c>
    </row>
    <row r="88" customFormat="false" ht="12.8" hidden="false" customHeight="false" outlineLevel="0" collapsed="false">
      <c r="A88" s="37" t="s">
        <v>181</v>
      </c>
      <c r="B88" s="38" t="s">
        <v>99</v>
      </c>
      <c r="C88" s="40" t="n">
        <f aca="false">'Parziale #4'!D11</f>
        <v>710.98</v>
      </c>
      <c r="D88" s="1" t="s">
        <v>100</v>
      </c>
    </row>
    <row r="89" customFormat="false" ht="12.8" hidden="false" customHeight="false" outlineLevel="0" collapsed="false">
      <c r="A89" s="37" t="s">
        <v>182</v>
      </c>
      <c r="B89" s="38" t="s">
        <v>99</v>
      </c>
      <c r="C89" s="40" t="n">
        <f aca="false">'Parziale #4'!C12</f>
        <v>1384.69</v>
      </c>
      <c r="D89" s="1" t="s">
        <v>100</v>
      </c>
    </row>
    <row r="90" customFormat="false" ht="12.8" hidden="false" customHeight="false" outlineLevel="0" collapsed="false">
      <c r="A90" s="37" t="s">
        <v>183</v>
      </c>
      <c r="B90" s="38" t="s">
        <v>99</v>
      </c>
      <c r="C90" s="40" t="n">
        <f aca="false">'Parziale #4'!B12</f>
        <v>503.99</v>
      </c>
      <c r="D90" s="1" t="s">
        <v>100</v>
      </c>
    </row>
    <row r="91" customFormat="false" ht="12.8" hidden="false" customHeight="false" outlineLevel="0" collapsed="false">
      <c r="A91" s="37" t="s">
        <v>184</v>
      </c>
      <c r="B91" s="38" t="s">
        <v>99</v>
      </c>
      <c r="C91" s="40" t="n">
        <f aca="false">'Parziale #4'!D12</f>
        <v>1214.97</v>
      </c>
      <c r="D91" s="1" t="s">
        <v>100</v>
      </c>
    </row>
    <row r="92" customFormat="false" ht="12.8" hidden="false" customHeight="false" outlineLevel="0" collapsed="false">
      <c r="A92" s="37" t="s">
        <v>185</v>
      </c>
      <c r="B92" s="38" t="s">
        <v>99</v>
      </c>
      <c r="C92" s="40" t="n">
        <f aca="false">'Parziale #4'!C12</f>
        <v>1384.69</v>
      </c>
      <c r="D92" s="1" t="s">
        <v>100</v>
      </c>
    </row>
    <row r="93" customFormat="false" ht="12.8" hidden="false" customHeight="false" outlineLevel="0" collapsed="false">
      <c r="A93" s="37" t="s">
        <v>186</v>
      </c>
      <c r="B93" s="38" t="s">
        <v>99</v>
      </c>
      <c r="C93" s="40" t="n">
        <f aca="false">'Parziale #4'!B14</f>
        <v>42.69</v>
      </c>
      <c r="D93" s="1" t="s">
        <v>100</v>
      </c>
    </row>
    <row r="94" customFormat="false" ht="12.8" hidden="false" customHeight="false" outlineLevel="0" collapsed="false">
      <c r="A94" s="37" t="s">
        <v>187</v>
      </c>
      <c r="B94" s="38" t="s">
        <v>99</v>
      </c>
      <c r="C94" s="40" t="n">
        <f aca="false">'Parziale #4'!D14</f>
        <v>1257.66</v>
      </c>
      <c r="D94" s="1" t="s">
        <v>100</v>
      </c>
    </row>
    <row r="95" customFormat="false" ht="12.8" hidden="false" customHeight="false" outlineLevel="0" collapsed="false">
      <c r="A95" s="37" t="s">
        <v>188</v>
      </c>
      <c r="B95" s="38" t="s">
        <v>99</v>
      </c>
      <c r="C95" s="40" t="n">
        <f aca="false">'Parziale #4'!C14</f>
        <v>1342</v>
      </c>
      <c r="D95" s="1" t="s">
        <v>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10694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2022-09-16T09:15:31Z</dcterms:created>
  <dc:creator/>
  <dc:description/>
  <dc:language>it-IT</dc:language>
  <cp:lastModifiedBy/>
  <dcterms:modified xsi:type="dcterms:W3CDTF">2024-01-04T20:31:04Z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
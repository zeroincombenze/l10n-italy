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Intro" sheetId="1" state="visible" r:id="rId3"/>
    <sheet name="Completo #1" sheetId="2" state="visible" r:id="rId4"/>
    <sheet name="Completo #2" sheetId="3" state="visible" r:id="rId5"/>
    <sheet name="Svalutazione #3" sheetId="4" state="visible" r:id="rId6"/>
    <sheet name="Parziale #4" sheetId="5" state="visible" r:id="rId7"/>
    <sheet name="TestbedValues" sheetId="6" state="visible" r:id="rId8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<sst xmlns="http://schemas.openxmlformats.org/spreadsheetml/2006/main" count="407" uniqueCount="145">
  <si>
    <t xml:space="preserve">English</t>
  </si>
  <si>
    <t xml:space="preserve">Italiano</t>
  </si>
  <si>
    <t xml:space="preserve"># giorni anno -3</t>
  </si>
  <si>
    <t xml:space="preserve">Current module tests do not run just regression tests but also functional tests.</t>
  </si>
  <si>
    <t xml:space="preserve">Gli attuali test dei moduli non eseguono solo test di regressione ma anche test funzionali.</t>
  </si>
  <si>
    <t xml:space="preserve"># giorni anno -2</t>
  </si>
  <si>
    <t xml:space="preserve">This worksheet contains the workflow of the current module functional tests with test data and expected values.</t>
  </si>
  <si>
    <t xml:space="preserve">Questo foglio di lavoro contiene il flusso di lavoro dei test funzionali del modulo corrente con i dati dei test e i valori attesi.</t>
  </si>
  <si>
    <t xml:space="preserve"># giorni anno -1</t>
  </si>
  <si>
    <t xml:space="preserve">Look at the tabbeds for furthermore info about tests.</t>
  </si>
  <si>
    <t xml:space="preserve">Consulta le schede per ulteriori informazioni sui test.</t>
  </si>
  <si>
    <t xml:space="preserve"># giorni anno 0</t>
  </si>
  <si>
    <t xml:space="preserve">Specific notes for this module</t>
  </si>
  <si>
    <t xml:space="preserve">Note specifiche per questo modulo</t>
  </si>
  <si>
    <t xml:space="preserve">The tests are based on 4 goods:</t>
  </si>
  <si>
    <t xml:space="preserve">I test si basano su 4 beni:</t>
  </si>
  <si>
    <t xml:space="preserve"> - 2 have 50% depreciation in 1st year (#1 &amp; #3)</t>
  </si>
  <si>
    <t xml:space="preserve"> - 2 hanno un ammortamento del 50% nel 1° anno (#1 e #3)</t>
  </si>
  <si>
    <t xml:space="preserve"> - 2  have pro-rata-temporis depreciation on 1st year (#2 &amp; #4)</t>
  </si>
  <si>
    <t xml:space="preserve"> - 2 hanno ammortamento pro-rata-temporis al 1° anno (#2 e #4)</t>
  </si>
  <si>
    <t xml:space="preserve"> - 1 with fixed asset write-down (#3)</t>
  </si>
  <si>
    <t xml:space="preserve"> - 1 con svalutazione del bene (#3)</t>
  </si>
  <si>
    <t xml:space="preserve"> - 1 is partial dismissed (#4)</t>
  </si>
  <si>
    <t xml:space="preserve"> - 1 è dismesso parzialmente (#4)</t>
  </si>
  <si>
    <t xml:space="preserve">Descrizione</t>
  </si>
  <si>
    <t xml:space="preserve">Valore</t>
  </si>
  <si>
    <t xml:space="preserve">Residuo</t>
  </si>
  <si>
    <t xml:space="preserve">Note</t>
  </si>
  <si>
    <t xml:space="preserve">Valore iniziale</t>
  </si>
  <si>
    <t xml:space="preserve">% amm</t>
  </si>
  <si>
    <t xml:space="preserve"># giorni anno-3</t>
  </si>
  <si>
    <t xml:space="preserve">Compreso giorno di acquisto</t>
  </si>
  <si>
    <t xml:space="preserve">Q.A.</t>
  </si>
  <si>
    <t xml:space="preserve">QA anno-3</t>
  </si>
  <si>
    <t xml:space="preserve">Quota per 50% anno</t>
  </si>
  <si>
    <t xml:space="preserve">%dism</t>
  </si>
  <si>
    <t xml:space="preserve">QA anno-2</t>
  </si>
  <si>
    <t xml:space="preserve">Quota intero anno</t>
  </si>
  <si>
    <t xml:space="preserve"># giorni anno </t>
  </si>
  <si>
    <t xml:space="preserve">Compreso giorno di vendita</t>
  </si>
  <si>
    <t xml:space="preserve">QA anno</t>
  </si>
  <si>
    <t xml:space="preserve">Quota alla data di vendita</t>
  </si>
  <si>
    <t xml:space="preserve">Dismissione totale</t>
  </si>
  <si>
    <t xml:space="preserve">Prezzo vendita</t>
  </si>
  <si>
    <t xml:space="preserve">Da fattura di vendita</t>
  </si>
  <si>
    <t xml:space="preserve">Plusvalenza</t>
  </si>
  <si>
    <t xml:space="preserve">Plusvalenza perché venduto &gt; dismissione</t>
  </si>
  <si>
    <t xml:space="preserve">Registrazioni contabili</t>
  </si>
  <si>
    <t xml:space="preserve">Dare</t>
  </si>
  <si>
    <t xml:space="preserve">Avere</t>
  </si>
  <si>
    <t xml:space="preserve">Saldo</t>
  </si>
  <si>
    <t xml:space="preserve">Da calcolo bene</t>
  </si>
  <si>
    <t xml:space="preserve">Fornitore</t>
  </si>
  <si>
    <t xml:space="preserve">Ammortamento anno-2</t>
  </si>
  <si>
    <t xml:space="preserve">Bene</t>
  </si>
  <si>
    <t xml:space="preserve">Fondo</t>
  </si>
  <si>
    <t xml:space="preserve">QA </t>
  </si>
  <si>
    <t xml:space="preserve">QA</t>
  </si>
  <si>
    <t xml:space="preserve">controllo</t>
  </si>
  <si>
    <t xml:space="preserve">Valore residuo del bene</t>
  </si>
  <si>
    <t xml:space="preserve">Ammortamento anno-1</t>
  </si>
  <si>
    <t xml:space="preserve">Ammortamento anno</t>
  </si>
  <si>
    <t xml:space="preserve">Fattura di dismissione</t>
  </si>
  <si>
    <t xml:space="preserve">Cliente</t>
  </si>
  <si>
    <t xml:space="preserve">Dismissione senza fattura</t>
  </si>
  <si>
    <t xml:space="preserve">Transitorio</t>
  </si>
  <si>
    <t xml:space="preserve"># giorni anno-2</t>
  </si>
  <si>
    <t xml:space="preserve">50% dei giorni</t>
  </si>
  <si>
    <t xml:space="preserve">QA anno-1</t>
  </si>
  <si>
    <t xml:space="preserve"># giorni anno</t>
  </si>
  <si>
    <t xml:space="preserve">Ammortamento 2020</t>
  </si>
  <si>
    <t xml:space="preserve">Ammortamento 2021</t>
  </si>
  <si>
    <t xml:space="preserve">Ammortamento 2022</t>
  </si>
  <si>
    <t xml:space="preserve">Valore bene</t>
  </si>
  <si>
    <t xml:space="preserve"># giorni anno-1 (pre svalutazione)</t>
  </si>
  <si>
    <t xml:space="preserve">QA anno-1 (pre svalutazione)</t>
  </si>
  <si>
    <t xml:space="preserve">Quota 90 giorni</t>
  </si>
  <si>
    <t xml:space="preserve">Svalutazione</t>
  </si>
  <si>
    <t xml:space="preserve">Q.A. dopo svalutaz,</t>
  </si>
  <si>
    <t xml:space="preserve"># giorni anno-1 (post svalutazione)</t>
  </si>
  <si>
    <t xml:space="preserve">QA anno-1 (post svalutazione)</t>
  </si>
  <si>
    <t xml:space="preserve">Quota 275 giorni</t>
  </si>
  <si>
    <t xml:space="preserve"># giorni 2022</t>
  </si>
  <si>
    <t xml:space="preserve">QA 2022</t>
  </si>
  <si>
    <t xml:space="preserve">Minusvalenza</t>
  </si>
  <si>
    <t xml:space="preserve">Ammortamento 2021 residuo</t>
  </si>
  <si>
    <t xml:space="preserve">Quota per 92 giorni</t>
  </si>
  <si>
    <t xml:space="preserve"># giorni anno-1 (pre dismissione)</t>
  </si>
  <si>
    <t xml:space="preserve">QA anno-1 (pre dismissione)</t>
  </si>
  <si>
    <t xml:space="preserve">Quota 212 giorni</t>
  </si>
  <si>
    <t xml:space="preserve">Quota del 20% residua e venduta</t>
  </si>
  <si>
    <t xml:space="preserve">Quota di vendita</t>
  </si>
  <si>
    <t xml:space="preserve">Q.A. post</t>
  </si>
  <si>
    <t xml:space="preserve">Sopravvenienza</t>
  </si>
  <si>
    <t xml:space="preserve"># giorni anno-1 (post dismissione)</t>
  </si>
  <si>
    <t xml:space="preserve">QA anno-1 (post dismissione)</t>
  </si>
  <si>
    <t xml:space="preserve">asset_1.initial_amount</t>
  </si>
  <si>
    <t xml:space="preserve">100.0</t>
  </si>
  <si>
    <t xml:space="preserve">asset_1.purchase_amount</t>
  </si>
  <si>
    <t xml:space="preserve">asset_1.depreciation_amount[-3]</t>
  </si>
  <si>
    <t xml:space="preserve">asset_1.depreciated_amount[-3]</t>
  </si>
  <si>
    <t xml:space="preserve">asset_1.residual_amount[-3]</t>
  </si>
  <si>
    <t xml:space="preserve">asset_1.depreciation_amount[-2]</t>
  </si>
  <si>
    <t xml:space="preserve">asset_1.depreciated_amount[-2]</t>
  </si>
  <si>
    <t xml:space="preserve">asset_1.residual_amount[-2]</t>
  </si>
  <si>
    <t xml:space="preserve">asset_2.initial_amount</t>
  </si>
  <si>
    <t xml:space="preserve">asset_2.purchase_amount</t>
  </si>
  <si>
    <t xml:space="preserve">asset_2.depreciation_amount[-3]</t>
  </si>
  <si>
    <t xml:space="preserve">asset_2.depreciated_amount[-3]</t>
  </si>
  <si>
    <t xml:space="preserve">asset_2.residual_amount[-3]</t>
  </si>
  <si>
    <t xml:space="preserve">asset_2.depreciation_amount[-2]</t>
  </si>
  <si>
    <t xml:space="preserve">asset_2.depreciated_amount[-2]</t>
  </si>
  <si>
    <t xml:space="preserve">asset_2.residual_amount[-2]</t>
  </si>
  <si>
    <t xml:space="preserve">asset_3.initial_amount</t>
  </si>
  <si>
    <t xml:space="preserve">asset_3.purchase_amount</t>
  </si>
  <si>
    <t xml:space="preserve">asset_3.depreciation_amount[-3]</t>
  </si>
  <si>
    <t xml:space="preserve">asset_3.depreciated_amount[-3]</t>
  </si>
  <si>
    <t xml:space="preserve">asset_3.residual_amount[-3]</t>
  </si>
  <si>
    <t xml:space="preserve">asset_3.depreciation_amount_pre[-2]</t>
  </si>
  <si>
    <t xml:space="preserve">asset_3.depreciated_amount_pre[-2]</t>
  </si>
  <si>
    <t xml:space="preserve">asset_3.residual_amount_pre[-2]</t>
  </si>
  <si>
    <t xml:space="preserve">asset_3.down_value[-2]</t>
  </si>
  <si>
    <t xml:space="preserve">asset_3.depreciation_amount_post[-2]</t>
  </si>
  <si>
    <t xml:space="preserve">asset_3.purchase_amount_post[-2]</t>
  </si>
  <si>
    <t xml:space="preserve">asset_3.residual_amount[_post[-2]</t>
  </si>
  <si>
    <t xml:space="preserve">asset_3.depreciation_amount[-2]</t>
  </si>
  <si>
    <t xml:space="preserve">asset_3.depreciated_amount[-2]</t>
  </si>
  <si>
    <t xml:space="preserve">asset_3.residual_amount[-2]</t>
  </si>
  <si>
    <t xml:space="preserve">asset_4.initial_amount</t>
  </si>
  <si>
    <t xml:space="preserve">asset_4.purchase_amount</t>
  </si>
  <si>
    <t xml:space="preserve">asset_4.depreciation_amount[-3]</t>
  </si>
  <si>
    <t xml:space="preserve">asset_4.depreciated_amount[-3]</t>
  </si>
  <si>
    <t xml:space="preserve">asset_4.residual_amount[-3]</t>
  </si>
  <si>
    <t xml:space="preserve">asset_4.depreciation_amount_pre[-2]</t>
  </si>
  <si>
    <t xml:space="preserve">asset_4.depreciated_amount_pre[-2]</t>
  </si>
  <si>
    <t xml:space="preserve">asset_4.residual_amount_pre[-2]</t>
  </si>
  <si>
    <t xml:space="preserve">asset_4.disposal_rate</t>
  </si>
  <si>
    <t xml:space="preserve">asset_4.sale_amount[-2]</t>
  </si>
  <si>
    <t xml:space="preserve">asset_4.sold_value[-2]</t>
  </si>
  <si>
    <t xml:space="preserve">asset_4.gain[-2]</t>
  </si>
  <si>
    <t xml:space="preserve">asset_4.depreciation_amount_post[-2]</t>
  </si>
  <si>
    <t xml:space="preserve">asset_4.residual_amount[_post[-2]</t>
  </si>
  <si>
    <t xml:space="preserve">asset_4.depreciation_amount[-2]</t>
  </si>
  <si>
    <t xml:space="preserve">asset_4.depreciated_amount[-2]</t>
  </si>
  <si>
    <t xml:space="preserve">asset_4.residual_amount[-2]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</si>
</sst>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[$€-410]\ #,##0.00;[RED]\-[$€-410]\ #,##0.00"/>
    <numFmt numFmtId="166" formatCode="0.00%"/>
    <numFmt numFmtId="167" formatCode="General"/>
  </numFmts>
  <fonts count="1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i val="true"/>
      <sz val="10"/>
      <name val="Arial"/>
      <family val="2"/>
      <charset val="1"/>
    </font>
    <font>
      <i val="true"/>
      <sz val="10"/>
      <name val="Arial"/>
      <family val="2"/>
      <charset val="1"/>
    </font>
    <font>
      <b val="true"/>
      <sz val="10"/>
      <name val="Arial"/>
      <family val="2"/>
      <charset val="1"/>
    </font>
    <font>
      <i val="true"/>
      <sz val="8"/>
      <name val="Arial"/>
      <family val="2"/>
      <charset val="1"/>
    </font>
    <font>
      <i val="true"/>
      <u val="single"/>
      <sz val="10"/>
      <name val="Arial"/>
      <family val="2"/>
      <charset val="1"/>
    </font>
    <font>
      <i val="true"/>
      <strike val="true"/>
      <sz val="10"/>
      <name val="Arial"/>
      <family val="2"/>
      <charset val="1"/>
    </font>
    <font>
      <strike val="true"/>
      <sz val="10"/>
      <name val="Arial"/>
      <family val="2"/>
      <charset val="1"/>
    </font>
    <font>
      <sz val="10"/>
      <color rgb="FF999999"/>
      <name val="Arial"/>
      <family val="2"/>
      <charset val="1"/>
    </font>
    <font>
      <b val="true"/>
      <sz val="10"/>
      <color rgb="FF999999"/>
      <name val="Arial"/>
      <family val="2"/>
      <charset val="1"/>
    </font>
    <font>
      <i val="true"/>
      <sz val="8"/>
      <color rgb="FF999999"/>
      <name val="Arial"/>
      <family val="2"/>
      <charset val="1"/>
    </font>
    <font>
      <i val="true"/>
      <sz val="10"/>
      <color rgb="FF999999"/>
      <name val="Arial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DEE7E5"/>
        <bgColor rgb="FFDEE6EF"/>
      </patternFill>
    </fill>
    <fill>
      <patternFill patternType="solid">
        <fgColor rgb="FFDEE6EF"/>
        <bgColor rgb="FFDEE7E5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6" fillId="2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6" fontId="6" fillId="3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EE6E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EE7E5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5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M4" activeCellId="0" sqref="M4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91.56"/>
    <col collapsed="false" customWidth="true" hidden="false" outlineLevel="0" max="2" min="2" style="1" width="99.76"/>
    <col collapsed="false" customWidth="true" hidden="false" outlineLevel="0" max="13" min="13" style="1" width="14.46"/>
    <col collapsed="false" customWidth="true" hidden="false" outlineLevel="0" max="14" min="14" style="1" width="6.39"/>
  </cols>
  <sheetData>
    <row r="1" customFormat="false" ht="12.8" hidden="false" customHeight="false" outlineLevel="0" collapsed="false">
      <c r="A1" s="2" t="s">
        <v>0</v>
      </c>
      <c r="B1" s="2" t="s">
        <v>1</v>
      </c>
      <c r="C1" s="3"/>
      <c r="D1" s="3"/>
      <c r="E1" s="3"/>
      <c r="F1" s="3"/>
      <c r="G1" s="3"/>
      <c r="H1" s="3"/>
      <c r="I1" s="3"/>
      <c r="J1" s="3"/>
      <c r="K1" s="3"/>
      <c r="L1" s="3" t="n">
        <v>2023</v>
      </c>
      <c r="M1" s="3" t="s">
        <v>2</v>
      </c>
      <c r="N1" s="3" t="n">
        <v>365</v>
      </c>
    </row>
    <row r="2" customFormat="false" ht="12.8" hidden="false" customHeight="false" outlineLevel="0" collapsed="false">
      <c r="A2" s="4" t="s">
        <v>3</v>
      </c>
      <c r="B2" s="4" t="s">
        <v>4</v>
      </c>
      <c r="C2" s="4"/>
      <c r="D2" s="4"/>
      <c r="E2" s="4"/>
      <c r="F2" s="4"/>
      <c r="G2" s="4"/>
      <c r="H2" s="4"/>
      <c r="I2" s="4"/>
      <c r="J2" s="4"/>
      <c r="K2" s="4"/>
      <c r="L2" s="4" t="n">
        <v>2022</v>
      </c>
      <c r="M2" s="3" t="s">
        <v>5</v>
      </c>
      <c r="N2" s="4" t="n">
        <v>365</v>
      </c>
    </row>
    <row r="3" customFormat="false" ht="12.8" hidden="false" customHeight="false" outlineLevel="0" collapsed="false">
      <c r="A3" s="4" t="s">
        <v>6</v>
      </c>
      <c r="B3" s="1" t="s">
        <v>7</v>
      </c>
      <c r="L3" s="0" t="n">
        <v>2021</v>
      </c>
      <c r="M3" s="3" t="s">
        <v>8</v>
      </c>
      <c r="N3" s="1" t="n">
        <v>365</v>
      </c>
    </row>
    <row r="4" customFormat="false" ht="12.8" hidden="false" customHeight="false" outlineLevel="0" collapsed="false">
      <c r="A4" s="1" t="s">
        <v>9</v>
      </c>
      <c r="B4" s="1" t="s">
        <v>10</v>
      </c>
      <c r="L4" s="0" t="n">
        <v>2020</v>
      </c>
      <c r="M4" s="3" t="s">
        <v>11</v>
      </c>
      <c r="N4" s="1" t="n">
        <v>365</v>
      </c>
    </row>
    <row r="10" customFormat="false" ht="12.8" hidden="false" customHeight="false" outlineLevel="0" collapsed="false">
      <c r="A10" s="5" t="s">
        <v>12</v>
      </c>
      <c r="B10" s="5" t="s">
        <v>13</v>
      </c>
    </row>
    <row r="11" customFormat="false" ht="12.8" hidden="false" customHeight="false" outlineLevel="0" collapsed="false">
      <c r="A11" s="1" t="s">
        <v>14</v>
      </c>
      <c r="B11" s="1" t="s">
        <v>15</v>
      </c>
    </row>
    <row r="12" customFormat="false" ht="12.8" hidden="false" customHeight="false" outlineLevel="0" collapsed="false">
      <c r="A12" s="1" t="s">
        <v>16</v>
      </c>
      <c r="B12" s="1" t="s">
        <v>17</v>
      </c>
    </row>
    <row r="13" customFormat="false" ht="12.8" hidden="false" customHeight="false" outlineLevel="0" collapsed="false">
      <c r="A13" s="1" t="s">
        <v>18</v>
      </c>
      <c r="B13" s="1" t="s">
        <v>19</v>
      </c>
    </row>
    <row r="14" customFormat="false" ht="12.8" hidden="false" customHeight="false" outlineLevel="0" collapsed="false">
      <c r="A14" s="1" t="s">
        <v>20</v>
      </c>
      <c r="B14" s="1" t="s">
        <v>21</v>
      </c>
    </row>
    <row r="15" customFormat="false" ht="12.8" hidden="false" customHeight="false" outlineLevel="0" collapsed="false">
      <c r="A15" s="1" t="s">
        <v>22</v>
      </c>
      <c r="B15" s="1" t="s">
        <v>23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Roman,Normale"&amp;12&amp;A</oddHeader>
    <oddFooter>&amp;C&amp;"Times New Roman,Normale"&amp;12Pagina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J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11.5703125" defaultRowHeight="12.8" zeroHeight="false" outlineLevelRow="0" outlineLevelCol="0"/>
  <cols>
    <col collapsed="false" customWidth="true" hidden="false" outlineLevel="0" max="1" min="1" style="1" width="20.98"/>
    <col collapsed="false" customWidth="true" hidden="false" outlineLevel="0" max="3" min="2" style="1" width="10.39"/>
    <col collapsed="false" customWidth="true" hidden="false" outlineLevel="0" max="4" min="4" style="1" width="11.72"/>
    <col collapsed="false" customWidth="true" hidden="false" outlineLevel="0" max="5" min="5" style="1" width="47.56"/>
    <col collapsed="false" customWidth="true" hidden="false" outlineLevel="0" max="6" min="6" style="1" width="9.26"/>
    <col collapsed="false" customWidth="true" hidden="false" outlineLevel="0" max="7" min="7" style="1" width="9.91"/>
    <col collapsed="false" customWidth="false" hidden="false" outlineLevel="0" max="1021" min="8" style="4" width="11.57"/>
    <col collapsed="false" customWidth="false" hidden="false" outlineLevel="0" max="1023" min="1023" style="4" width="11.57"/>
  </cols>
  <sheetData>
    <row r="1" customFormat="false" ht="12.8" hidden="false" customHeight="false" outlineLevel="0" collapsed="false">
      <c r="A1" s="3" t="s">
        <v>24</v>
      </c>
      <c r="B1" s="6" t="s">
        <v>25</v>
      </c>
      <c r="C1" s="6" t="s">
        <v>26</v>
      </c>
      <c r="D1" s="6"/>
      <c r="E1" s="3" t="s">
        <v>27</v>
      </c>
      <c r="F1" s="3"/>
      <c r="G1" s="7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3"/>
      <c r="CI1" s="3"/>
      <c r="CJ1" s="3"/>
      <c r="CK1" s="3"/>
      <c r="CL1" s="3"/>
      <c r="CM1" s="3"/>
      <c r="CN1" s="3"/>
      <c r="CO1" s="3"/>
      <c r="CP1" s="3"/>
      <c r="CQ1" s="3"/>
      <c r="CR1" s="3"/>
      <c r="CS1" s="3"/>
      <c r="CT1" s="3"/>
      <c r="CU1" s="3"/>
      <c r="CV1" s="3"/>
      <c r="CW1" s="3"/>
      <c r="CX1" s="3"/>
      <c r="CY1" s="3"/>
      <c r="CZ1" s="3"/>
      <c r="DA1" s="3"/>
      <c r="DB1" s="3"/>
      <c r="DC1" s="3"/>
      <c r="DD1" s="3"/>
      <c r="DE1" s="3"/>
      <c r="DF1" s="3"/>
      <c r="DG1" s="3"/>
      <c r="DH1" s="3"/>
      <c r="DI1" s="3"/>
      <c r="DJ1" s="3"/>
      <c r="DK1" s="3"/>
      <c r="DL1" s="3"/>
      <c r="DM1" s="3"/>
      <c r="DN1" s="3"/>
      <c r="DO1" s="3"/>
      <c r="DP1" s="3"/>
      <c r="DQ1" s="3"/>
      <c r="DR1" s="3"/>
      <c r="DS1" s="3"/>
      <c r="DT1" s="3"/>
      <c r="DU1" s="3"/>
      <c r="DV1" s="3"/>
      <c r="DW1" s="3"/>
      <c r="DX1" s="3"/>
      <c r="DY1" s="3"/>
      <c r="DZ1" s="3"/>
      <c r="EA1" s="3"/>
      <c r="EB1" s="3"/>
      <c r="EC1" s="3"/>
      <c r="ED1" s="3"/>
      <c r="EE1" s="3"/>
      <c r="EF1" s="3"/>
      <c r="EG1" s="3"/>
      <c r="EH1" s="3"/>
      <c r="EI1" s="3"/>
      <c r="EJ1" s="3"/>
      <c r="EK1" s="3"/>
      <c r="EL1" s="3"/>
      <c r="EM1" s="3"/>
      <c r="EN1" s="3"/>
      <c r="EO1" s="3"/>
      <c r="EP1" s="3"/>
      <c r="EQ1" s="3"/>
      <c r="ER1" s="3"/>
      <c r="ES1" s="3"/>
      <c r="ET1" s="3"/>
      <c r="EU1" s="3"/>
      <c r="EV1" s="3"/>
      <c r="EW1" s="3"/>
      <c r="EX1" s="3"/>
      <c r="EY1" s="3"/>
      <c r="EZ1" s="3"/>
      <c r="FA1" s="3"/>
      <c r="FB1" s="3"/>
      <c r="FC1" s="3"/>
      <c r="FD1" s="3"/>
      <c r="FE1" s="3"/>
      <c r="FF1" s="3"/>
      <c r="FG1" s="3"/>
      <c r="FH1" s="3"/>
      <c r="FI1" s="3"/>
      <c r="FJ1" s="3"/>
      <c r="FK1" s="3"/>
      <c r="FL1" s="3"/>
      <c r="FM1" s="3"/>
      <c r="FN1" s="3"/>
      <c r="FO1" s="3"/>
      <c r="FP1" s="3"/>
      <c r="FQ1" s="3"/>
      <c r="FR1" s="3"/>
      <c r="FS1" s="3"/>
      <c r="FT1" s="3"/>
      <c r="FU1" s="3"/>
      <c r="FV1" s="3"/>
      <c r="FW1" s="3"/>
      <c r="FX1" s="3"/>
      <c r="FY1" s="3"/>
      <c r="FZ1" s="3"/>
      <c r="GA1" s="3"/>
      <c r="GB1" s="3"/>
      <c r="GC1" s="3"/>
      <c r="GD1" s="3"/>
      <c r="GE1" s="3"/>
      <c r="GF1" s="3"/>
      <c r="GG1" s="3"/>
      <c r="GH1" s="3"/>
      <c r="GI1" s="3"/>
      <c r="GJ1" s="3"/>
      <c r="GK1" s="3"/>
      <c r="GL1" s="3"/>
      <c r="GM1" s="3"/>
      <c r="GN1" s="3"/>
      <c r="GO1" s="3"/>
      <c r="GP1" s="3"/>
      <c r="GQ1" s="3"/>
      <c r="GR1" s="3"/>
      <c r="GS1" s="3"/>
      <c r="GT1" s="3"/>
      <c r="GU1" s="3"/>
      <c r="GV1" s="3"/>
      <c r="GW1" s="3"/>
      <c r="GX1" s="3"/>
      <c r="GY1" s="3"/>
      <c r="GZ1" s="3"/>
      <c r="HA1" s="3"/>
      <c r="HB1" s="3"/>
      <c r="HC1" s="3"/>
      <c r="HD1" s="3"/>
      <c r="HE1" s="3"/>
      <c r="HF1" s="3"/>
      <c r="HG1" s="3"/>
      <c r="HH1" s="3"/>
      <c r="HI1" s="3"/>
      <c r="HJ1" s="3"/>
      <c r="HK1" s="3"/>
      <c r="HL1" s="3"/>
      <c r="HM1" s="3"/>
      <c r="HN1" s="3"/>
      <c r="HO1" s="3"/>
      <c r="HP1" s="3"/>
      <c r="HQ1" s="3"/>
      <c r="HR1" s="3"/>
      <c r="HS1" s="3"/>
      <c r="HT1" s="3"/>
      <c r="HU1" s="3"/>
      <c r="HV1" s="3"/>
      <c r="HW1" s="3"/>
      <c r="HX1" s="3"/>
      <c r="HY1" s="3"/>
      <c r="HZ1" s="3"/>
      <c r="IA1" s="3"/>
      <c r="IB1" s="3"/>
      <c r="IC1" s="3"/>
      <c r="ID1" s="3"/>
      <c r="IE1" s="3"/>
      <c r="IF1" s="3"/>
      <c r="IG1" s="3"/>
      <c r="IH1" s="3"/>
      <c r="II1" s="3"/>
      <c r="IJ1" s="3"/>
      <c r="IK1" s="3"/>
      <c r="IL1" s="3"/>
      <c r="IM1" s="3"/>
      <c r="IN1" s="3"/>
      <c r="IO1" s="3"/>
      <c r="IP1" s="3"/>
      <c r="IQ1" s="3"/>
      <c r="IR1" s="3"/>
      <c r="IS1" s="3"/>
      <c r="IT1" s="3"/>
      <c r="IU1" s="3"/>
      <c r="IV1" s="3"/>
      <c r="IW1" s="3"/>
      <c r="IX1" s="3"/>
      <c r="IY1" s="3"/>
      <c r="IZ1" s="3"/>
      <c r="JA1" s="3"/>
      <c r="JB1" s="3"/>
      <c r="JC1" s="3"/>
      <c r="JD1" s="3"/>
      <c r="JE1" s="3"/>
      <c r="JF1" s="3"/>
      <c r="JG1" s="3"/>
      <c r="JH1" s="3"/>
      <c r="JI1" s="3"/>
      <c r="JJ1" s="3"/>
      <c r="JK1" s="3"/>
      <c r="JL1" s="3"/>
      <c r="JM1" s="3"/>
      <c r="JN1" s="3"/>
      <c r="JO1" s="3"/>
      <c r="JP1" s="3"/>
      <c r="JQ1" s="3"/>
      <c r="JR1" s="3"/>
      <c r="JS1" s="3"/>
      <c r="JT1" s="3"/>
      <c r="JU1" s="3"/>
      <c r="JV1" s="3"/>
      <c r="JW1" s="3"/>
      <c r="JX1" s="3"/>
      <c r="JY1" s="3"/>
      <c r="JZ1" s="3"/>
      <c r="KA1" s="3"/>
      <c r="KB1" s="3"/>
      <c r="KC1" s="3"/>
      <c r="KD1" s="3"/>
      <c r="KE1" s="3"/>
      <c r="KF1" s="3"/>
      <c r="KG1" s="3"/>
      <c r="KH1" s="3"/>
      <c r="KI1" s="3"/>
      <c r="KJ1" s="3"/>
      <c r="KK1" s="3"/>
      <c r="KL1" s="3"/>
      <c r="KM1" s="3"/>
      <c r="KN1" s="3"/>
      <c r="KO1" s="3"/>
      <c r="KP1" s="3"/>
      <c r="KQ1" s="3"/>
      <c r="KR1" s="3"/>
      <c r="KS1" s="3"/>
      <c r="KT1" s="3"/>
      <c r="KU1" s="3"/>
      <c r="KV1" s="3"/>
      <c r="KW1" s="3"/>
      <c r="KX1" s="3"/>
      <c r="KY1" s="3"/>
      <c r="KZ1" s="3"/>
      <c r="LA1" s="3"/>
      <c r="LB1" s="3"/>
      <c r="LC1" s="3"/>
      <c r="LD1" s="3"/>
      <c r="LE1" s="3"/>
      <c r="LF1" s="3"/>
      <c r="LG1" s="3"/>
      <c r="LH1" s="3"/>
      <c r="LI1" s="3"/>
      <c r="LJ1" s="3"/>
      <c r="LK1" s="3"/>
      <c r="LL1" s="3"/>
      <c r="LM1" s="3"/>
      <c r="LN1" s="3"/>
      <c r="LO1" s="3"/>
      <c r="LP1" s="3"/>
      <c r="LQ1" s="3"/>
      <c r="LR1" s="3"/>
      <c r="LS1" s="3"/>
      <c r="LT1" s="3"/>
      <c r="LU1" s="3"/>
      <c r="LV1" s="3"/>
      <c r="LW1" s="3"/>
      <c r="LX1" s="3"/>
      <c r="LY1" s="3"/>
      <c r="LZ1" s="3"/>
      <c r="MA1" s="3"/>
      <c r="MB1" s="3"/>
      <c r="MC1" s="3"/>
      <c r="MD1" s="3"/>
      <c r="ME1" s="3"/>
      <c r="MF1" s="3"/>
      <c r="MG1" s="3"/>
      <c r="MH1" s="3"/>
      <c r="MI1" s="3"/>
      <c r="MJ1" s="3"/>
      <c r="MK1" s="3"/>
      <c r="ML1" s="3"/>
      <c r="MM1" s="3"/>
      <c r="MN1" s="3"/>
      <c r="MO1" s="3"/>
      <c r="MP1" s="3"/>
      <c r="MQ1" s="3"/>
      <c r="MR1" s="3"/>
      <c r="MS1" s="3"/>
      <c r="MT1" s="3"/>
      <c r="MU1" s="3"/>
      <c r="MV1" s="3"/>
      <c r="MW1" s="3"/>
      <c r="MX1" s="3"/>
      <c r="MY1" s="3"/>
      <c r="MZ1" s="3"/>
      <c r="NA1" s="3"/>
      <c r="NB1" s="3"/>
      <c r="NC1" s="3"/>
      <c r="ND1" s="3"/>
      <c r="NE1" s="3"/>
      <c r="NF1" s="3"/>
      <c r="NG1" s="3"/>
      <c r="NH1" s="3"/>
      <c r="NI1" s="3"/>
      <c r="NJ1" s="3"/>
      <c r="NK1" s="3"/>
      <c r="NL1" s="3"/>
      <c r="NM1" s="3"/>
      <c r="NN1" s="3"/>
      <c r="NO1" s="3"/>
      <c r="NP1" s="3"/>
      <c r="NQ1" s="3"/>
      <c r="NR1" s="3"/>
      <c r="NS1" s="3"/>
      <c r="NT1" s="3"/>
      <c r="NU1" s="3"/>
      <c r="NV1" s="3"/>
      <c r="NW1" s="3"/>
      <c r="NX1" s="3"/>
      <c r="NY1" s="3"/>
      <c r="NZ1" s="3"/>
      <c r="OA1" s="3"/>
      <c r="OB1" s="3"/>
      <c r="OC1" s="3"/>
      <c r="OD1" s="3"/>
      <c r="OE1" s="3"/>
      <c r="OF1" s="3"/>
      <c r="OG1" s="3"/>
      <c r="OH1" s="3"/>
      <c r="OI1" s="3"/>
      <c r="OJ1" s="3"/>
      <c r="OK1" s="3"/>
      <c r="OL1" s="3"/>
      <c r="OM1" s="3"/>
      <c r="ON1" s="3"/>
      <c r="OO1" s="3"/>
      <c r="OP1" s="3"/>
      <c r="OQ1" s="3"/>
      <c r="OR1" s="3"/>
      <c r="OS1" s="3"/>
      <c r="OT1" s="3"/>
      <c r="OU1" s="3"/>
      <c r="OV1" s="3"/>
      <c r="OW1" s="3"/>
      <c r="OX1" s="3"/>
      <c r="OY1" s="3"/>
      <c r="OZ1" s="3"/>
      <c r="PA1" s="3"/>
      <c r="PB1" s="3"/>
      <c r="PC1" s="3"/>
      <c r="PD1" s="3"/>
      <c r="PE1" s="3"/>
      <c r="PF1" s="3"/>
      <c r="PG1" s="3"/>
      <c r="PH1" s="3"/>
      <c r="PI1" s="3"/>
      <c r="PJ1" s="3"/>
      <c r="PK1" s="3"/>
      <c r="PL1" s="3"/>
      <c r="PM1" s="3"/>
      <c r="PN1" s="3"/>
      <c r="PO1" s="3"/>
      <c r="PP1" s="3"/>
      <c r="PQ1" s="3"/>
      <c r="PR1" s="3"/>
      <c r="PS1" s="3"/>
      <c r="PT1" s="3"/>
      <c r="PU1" s="3"/>
      <c r="PV1" s="3"/>
      <c r="PW1" s="3"/>
      <c r="PX1" s="3"/>
      <c r="PY1" s="3"/>
      <c r="PZ1" s="3"/>
      <c r="QA1" s="3"/>
      <c r="QB1" s="3"/>
      <c r="QC1" s="3"/>
      <c r="QD1" s="3"/>
      <c r="QE1" s="3"/>
      <c r="QF1" s="3"/>
      <c r="QG1" s="3"/>
      <c r="QH1" s="3"/>
      <c r="QI1" s="3"/>
      <c r="QJ1" s="3"/>
      <c r="QK1" s="3"/>
      <c r="QL1" s="3"/>
      <c r="QM1" s="3"/>
      <c r="QN1" s="3"/>
      <c r="QO1" s="3"/>
      <c r="QP1" s="3"/>
      <c r="QQ1" s="3"/>
      <c r="QR1" s="3"/>
      <c r="QS1" s="3"/>
      <c r="QT1" s="3"/>
      <c r="QU1" s="3"/>
      <c r="QV1" s="3"/>
      <c r="QW1" s="3"/>
      <c r="QX1" s="3"/>
      <c r="QY1" s="3"/>
      <c r="QZ1" s="3"/>
      <c r="RA1" s="3"/>
      <c r="RB1" s="3"/>
      <c r="RC1" s="3"/>
      <c r="RD1" s="3"/>
      <c r="RE1" s="3"/>
      <c r="RF1" s="3"/>
      <c r="RG1" s="3"/>
      <c r="RH1" s="3"/>
      <c r="RI1" s="3"/>
      <c r="RJ1" s="3"/>
      <c r="RK1" s="3"/>
      <c r="RL1" s="3"/>
      <c r="RM1" s="3"/>
      <c r="RN1" s="3"/>
      <c r="RO1" s="3"/>
      <c r="RP1" s="3"/>
      <c r="RQ1" s="3"/>
      <c r="RR1" s="3"/>
      <c r="RS1" s="3"/>
      <c r="RT1" s="3"/>
      <c r="RU1" s="3"/>
      <c r="RV1" s="3"/>
      <c r="RW1" s="3"/>
      <c r="RX1" s="3"/>
      <c r="RY1" s="3"/>
      <c r="RZ1" s="3"/>
      <c r="SA1" s="3"/>
      <c r="SB1" s="3"/>
      <c r="SC1" s="3"/>
      <c r="SD1" s="3"/>
      <c r="SE1" s="3"/>
      <c r="SF1" s="3"/>
      <c r="SG1" s="3"/>
      <c r="SH1" s="3"/>
      <c r="SI1" s="3"/>
      <c r="SJ1" s="3"/>
      <c r="SK1" s="3"/>
      <c r="SL1" s="3"/>
      <c r="SM1" s="3"/>
      <c r="SN1" s="3"/>
      <c r="SO1" s="3"/>
      <c r="SP1" s="3"/>
      <c r="SQ1" s="3"/>
      <c r="SR1" s="3"/>
      <c r="SS1" s="3"/>
      <c r="ST1" s="3"/>
      <c r="SU1" s="3"/>
      <c r="SV1" s="3"/>
      <c r="SW1" s="3"/>
      <c r="SX1" s="3"/>
      <c r="SY1" s="3"/>
      <c r="SZ1" s="3"/>
      <c r="TA1" s="3"/>
      <c r="TB1" s="3"/>
      <c r="TC1" s="3"/>
      <c r="TD1" s="3"/>
      <c r="TE1" s="3"/>
      <c r="TF1" s="3"/>
      <c r="TG1" s="3"/>
      <c r="TH1" s="3"/>
      <c r="TI1" s="3"/>
      <c r="TJ1" s="3"/>
      <c r="TK1" s="3"/>
      <c r="TL1" s="3"/>
      <c r="TM1" s="3"/>
      <c r="TN1" s="3"/>
      <c r="TO1" s="3"/>
      <c r="TP1" s="3"/>
      <c r="TQ1" s="3"/>
      <c r="TR1" s="3"/>
      <c r="TS1" s="3"/>
      <c r="TT1" s="3"/>
      <c r="TU1" s="3"/>
      <c r="TV1" s="3"/>
      <c r="TW1" s="3"/>
      <c r="TX1" s="3"/>
      <c r="TY1" s="3"/>
      <c r="TZ1" s="3"/>
      <c r="UA1" s="3"/>
      <c r="UB1" s="3"/>
      <c r="UC1" s="3"/>
      <c r="UD1" s="3"/>
      <c r="UE1" s="3"/>
      <c r="UF1" s="3"/>
      <c r="UG1" s="3"/>
      <c r="UH1" s="3"/>
      <c r="UI1" s="3"/>
      <c r="UJ1" s="3"/>
      <c r="UK1" s="3"/>
      <c r="UL1" s="3"/>
      <c r="UM1" s="3"/>
      <c r="UN1" s="3"/>
      <c r="UO1" s="3"/>
      <c r="UP1" s="3"/>
      <c r="UQ1" s="3"/>
      <c r="UR1" s="3"/>
      <c r="US1" s="3"/>
      <c r="UT1" s="3"/>
      <c r="UU1" s="3"/>
      <c r="UV1" s="3"/>
      <c r="UW1" s="3"/>
      <c r="UX1" s="3"/>
      <c r="UY1" s="3"/>
      <c r="UZ1" s="3"/>
      <c r="VA1" s="3"/>
      <c r="VB1" s="3"/>
      <c r="VC1" s="3"/>
      <c r="VD1" s="3"/>
      <c r="VE1" s="3"/>
      <c r="VF1" s="3"/>
      <c r="VG1" s="3"/>
      <c r="VH1" s="3"/>
      <c r="VI1" s="3"/>
      <c r="VJ1" s="3"/>
      <c r="VK1" s="3"/>
      <c r="VL1" s="3"/>
      <c r="VM1" s="3"/>
      <c r="VN1" s="3"/>
      <c r="VO1" s="3"/>
      <c r="VP1" s="3"/>
      <c r="VQ1" s="3"/>
      <c r="VR1" s="3"/>
      <c r="VS1" s="3"/>
      <c r="VT1" s="3"/>
      <c r="VU1" s="3"/>
      <c r="VV1" s="3"/>
      <c r="VW1" s="3"/>
      <c r="VX1" s="3"/>
      <c r="VY1" s="3"/>
      <c r="VZ1" s="3"/>
      <c r="WA1" s="3"/>
      <c r="WB1" s="3"/>
      <c r="WC1" s="3"/>
      <c r="WD1" s="3"/>
      <c r="WE1" s="3"/>
      <c r="WF1" s="3"/>
      <c r="WG1" s="3"/>
      <c r="WH1" s="3"/>
      <c r="WI1" s="3"/>
      <c r="WJ1" s="3"/>
      <c r="WK1" s="3"/>
      <c r="WL1" s="3"/>
      <c r="WM1" s="3"/>
      <c r="WN1" s="3"/>
      <c r="WO1" s="3"/>
      <c r="WP1" s="3"/>
      <c r="WQ1" s="3"/>
      <c r="WR1" s="3"/>
      <c r="WS1" s="3"/>
      <c r="WT1" s="3"/>
      <c r="WU1" s="3"/>
      <c r="WV1" s="3"/>
      <c r="WW1" s="3"/>
      <c r="WX1" s="3"/>
      <c r="WY1" s="3"/>
      <c r="WZ1" s="3"/>
      <c r="XA1" s="3"/>
      <c r="XB1" s="3"/>
      <c r="XC1" s="3"/>
      <c r="XD1" s="3"/>
      <c r="XE1" s="3"/>
      <c r="XF1" s="3"/>
      <c r="XG1" s="3"/>
      <c r="XH1" s="3"/>
      <c r="XI1" s="3"/>
      <c r="XJ1" s="3"/>
      <c r="XK1" s="3"/>
      <c r="XL1" s="3"/>
      <c r="XM1" s="3"/>
      <c r="XN1" s="3"/>
      <c r="XO1" s="3"/>
      <c r="XP1" s="3"/>
      <c r="XQ1" s="3"/>
      <c r="XR1" s="3"/>
      <c r="XS1" s="3"/>
      <c r="XT1" s="3"/>
      <c r="XU1" s="3"/>
      <c r="XV1" s="3"/>
      <c r="XW1" s="3"/>
      <c r="XX1" s="3"/>
      <c r="XY1" s="3"/>
      <c r="XZ1" s="3"/>
      <c r="YA1" s="3"/>
      <c r="YB1" s="3"/>
      <c r="YC1" s="3"/>
      <c r="YD1" s="3"/>
      <c r="YE1" s="3"/>
      <c r="YF1" s="3"/>
      <c r="YG1" s="3"/>
      <c r="YH1" s="3"/>
      <c r="YI1" s="3"/>
      <c r="YJ1" s="3"/>
      <c r="YK1" s="3"/>
      <c r="YL1" s="3"/>
      <c r="YM1" s="3"/>
      <c r="YN1" s="3"/>
      <c r="YO1" s="3"/>
      <c r="YP1" s="3"/>
      <c r="YQ1" s="3"/>
      <c r="YR1" s="3"/>
      <c r="YS1" s="3"/>
      <c r="YT1" s="3"/>
      <c r="YU1" s="3"/>
      <c r="YV1" s="3"/>
      <c r="YW1" s="3"/>
      <c r="YX1" s="3"/>
      <c r="YY1" s="3"/>
      <c r="YZ1" s="3"/>
      <c r="ZA1" s="3"/>
      <c r="ZB1" s="3"/>
      <c r="ZC1" s="3"/>
      <c r="ZD1" s="3"/>
      <c r="ZE1" s="3"/>
      <c r="ZF1" s="3"/>
      <c r="ZG1" s="3"/>
      <c r="ZH1" s="3"/>
      <c r="ZI1" s="3"/>
      <c r="ZJ1" s="3"/>
      <c r="ZK1" s="3"/>
      <c r="ZL1" s="3"/>
      <c r="ZM1" s="3"/>
      <c r="ZN1" s="3"/>
      <c r="ZO1" s="3"/>
      <c r="ZP1" s="3"/>
      <c r="ZQ1" s="3"/>
      <c r="ZR1" s="3"/>
      <c r="ZS1" s="3"/>
      <c r="ZT1" s="3"/>
      <c r="ZU1" s="3"/>
      <c r="ZV1" s="3"/>
      <c r="ZW1" s="3"/>
      <c r="ZX1" s="3"/>
      <c r="ZY1" s="3"/>
      <c r="ZZ1" s="3"/>
      <c r="AAA1" s="3"/>
      <c r="AAB1" s="3"/>
      <c r="AAC1" s="3"/>
      <c r="AAD1" s="3"/>
      <c r="AAE1" s="3"/>
      <c r="AAF1" s="3"/>
      <c r="AAG1" s="3"/>
      <c r="AAH1" s="3"/>
      <c r="AAI1" s="3"/>
      <c r="AAJ1" s="3"/>
      <c r="AAK1" s="3"/>
      <c r="AAL1" s="3"/>
      <c r="AAM1" s="3"/>
      <c r="AAN1" s="3"/>
      <c r="AAO1" s="3"/>
      <c r="AAP1" s="3"/>
      <c r="AAQ1" s="3"/>
      <c r="AAR1" s="3"/>
      <c r="AAS1" s="3"/>
      <c r="AAT1" s="3"/>
      <c r="AAU1" s="3"/>
      <c r="AAV1" s="3"/>
      <c r="AAW1" s="3"/>
      <c r="AAX1" s="3"/>
      <c r="AAY1" s="3"/>
      <c r="AAZ1" s="3"/>
      <c r="ABA1" s="3"/>
      <c r="ABB1" s="3"/>
      <c r="ABC1" s="3"/>
      <c r="ABD1" s="3"/>
      <c r="ABE1" s="3"/>
      <c r="ABF1" s="3"/>
      <c r="ABG1" s="3"/>
      <c r="ABH1" s="3"/>
      <c r="ABI1" s="3"/>
      <c r="ABJ1" s="3"/>
      <c r="ABK1" s="3"/>
      <c r="ABL1" s="3"/>
      <c r="ABM1" s="3"/>
      <c r="ABN1" s="3"/>
      <c r="ABO1" s="3"/>
      <c r="ABP1" s="3"/>
      <c r="ABQ1" s="3"/>
      <c r="ABR1" s="3"/>
      <c r="ABS1" s="3"/>
      <c r="ABT1" s="3"/>
      <c r="ABU1" s="3"/>
      <c r="ABV1" s="3"/>
      <c r="ABW1" s="3"/>
      <c r="ABX1" s="3"/>
      <c r="ABY1" s="3"/>
      <c r="ABZ1" s="3"/>
      <c r="ACA1" s="3"/>
      <c r="ACB1" s="3"/>
      <c r="ACC1" s="3"/>
      <c r="ACD1" s="3"/>
      <c r="ACE1" s="3"/>
      <c r="ACF1" s="3"/>
      <c r="ACG1" s="3"/>
      <c r="ACH1" s="3"/>
      <c r="ACI1" s="3"/>
      <c r="ACJ1" s="3"/>
      <c r="ACK1" s="3"/>
      <c r="ACL1" s="3"/>
      <c r="ACM1" s="3"/>
      <c r="ACN1" s="3"/>
      <c r="ACO1" s="3"/>
      <c r="ACP1" s="3"/>
      <c r="ACQ1" s="3"/>
      <c r="ACR1" s="3"/>
      <c r="ACS1" s="3"/>
      <c r="ACT1" s="3"/>
      <c r="ACU1" s="3"/>
      <c r="ACV1" s="3"/>
      <c r="ACW1" s="3"/>
      <c r="ACX1" s="3"/>
      <c r="ACY1" s="3"/>
      <c r="ACZ1" s="3"/>
      <c r="ADA1" s="3"/>
      <c r="ADB1" s="3"/>
      <c r="ADC1" s="3"/>
      <c r="ADD1" s="3"/>
      <c r="ADE1" s="3"/>
      <c r="ADF1" s="3"/>
      <c r="ADG1" s="3"/>
      <c r="ADH1" s="3"/>
      <c r="ADI1" s="3"/>
      <c r="ADJ1" s="3"/>
      <c r="ADK1" s="3"/>
      <c r="ADL1" s="3"/>
      <c r="ADM1" s="3"/>
      <c r="ADN1" s="3"/>
      <c r="ADO1" s="3"/>
      <c r="ADP1" s="3"/>
      <c r="ADQ1" s="3"/>
      <c r="ADR1" s="3"/>
      <c r="ADS1" s="3"/>
      <c r="ADT1" s="3"/>
      <c r="ADU1" s="3"/>
      <c r="ADV1" s="3"/>
      <c r="ADW1" s="3"/>
      <c r="ADX1" s="3"/>
      <c r="ADY1" s="3"/>
      <c r="ADZ1" s="3"/>
      <c r="AEA1" s="3"/>
      <c r="AEB1" s="3"/>
      <c r="AEC1" s="3"/>
      <c r="AED1" s="3"/>
      <c r="AEE1" s="3"/>
      <c r="AEF1" s="3"/>
      <c r="AEG1" s="3"/>
      <c r="AEH1" s="3"/>
      <c r="AEI1" s="3"/>
      <c r="AEJ1" s="3"/>
      <c r="AEK1" s="3"/>
      <c r="AEL1" s="3"/>
      <c r="AEM1" s="3"/>
      <c r="AEN1" s="3"/>
      <c r="AEO1" s="3"/>
      <c r="AEP1" s="3"/>
      <c r="AEQ1" s="3"/>
      <c r="AER1" s="3"/>
      <c r="AES1" s="3"/>
      <c r="AET1" s="3"/>
      <c r="AEU1" s="3"/>
      <c r="AEV1" s="3"/>
      <c r="AEW1" s="3"/>
      <c r="AEX1" s="3"/>
      <c r="AEY1" s="3"/>
      <c r="AEZ1" s="3"/>
      <c r="AFA1" s="3"/>
      <c r="AFB1" s="3"/>
      <c r="AFC1" s="3"/>
      <c r="AFD1" s="3"/>
      <c r="AFE1" s="3"/>
      <c r="AFF1" s="3"/>
      <c r="AFG1" s="3"/>
      <c r="AFH1" s="3"/>
      <c r="AFI1" s="3"/>
      <c r="AFJ1" s="3"/>
      <c r="AFK1" s="3"/>
      <c r="AFL1" s="3"/>
      <c r="AFM1" s="3"/>
      <c r="AFN1" s="3"/>
      <c r="AFO1" s="3"/>
      <c r="AFP1" s="3"/>
      <c r="AFQ1" s="3"/>
      <c r="AFR1" s="3"/>
      <c r="AFS1" s="3"/>
      <c r="AFT1" s="3"/>
      <c r="AFU1" s="3"/>
      <c r="AFV1" s="3"/>
      <c r="AFW1" s="3"/>
      <c r="AFX1" s="3"/>
      <c r="AFY1" s="3"/>
      <c r="AFZ1" s="3"/>
      <c r="AGA1" s="3"/>
      <c r="AGB1" s="3"/>
      <c r="AGC1" s="3"/>
      <c r="AGD1" s="3"/>
      <c r="AGE1" s="3"/>
      <c r="AGF1" s="3"/>
      <c r="AGG1" s="3"/>
      <c r="AGH1" s="3"/>
      <c r="AGI1" s="3"/>
      <c r="AGJ1" s="3"/>
      <c r="AGK1" s="3"/>
      <c r="AGL1" s="3"/>
      <c r="AGM1" s="3"/>
      <c r="AGN1" s="3"/>
      <c r="AGO1" s="3"/>
      <c r="AGP1" s="3"/>
      <c r="AGQ1" s="3"/>
      <c r="AGR1" s="3"/>
      <c r="AGS1" s="3"/>
      <c r="AGT1" s="3"/>
      <c r="AGU1" s="3"/>
      <c r="AGV1" s="3"/>
      <c r="AGW1" s="3"/>
      <c r="AGX1" s="3"/>
      <c r="AGY1" s="3"/>
      <c r="AGZ1" s="3"/>
      <c r="AHA1" s="3"/>
      <c r="AHB1" s="3"/>
      <c r="AHC1" s="3"/>
      <c r="AHD1" s="3"/>
      <c r="AHE1" s="3"/>
      <c r="AHF1" s="3"/>
      <c r="AHG1" s="3"/>
      <c r="AHH1" s="3"/>
      <c r="AHI1" s="3"/>
      <c r="AHJ1" s="3"/>
      <c r="AHK1" s="3"/>
      <c r="AHL1" s="3"/>
      <c r="AHM1" s="3"/>
      <c r="AHN1" s="3"/>
      <c r="AHO1" s="3"/>
      <c r="AHP1" s="3"/>
      <c r="AHQ1" s="3"/>
      <c r="AHR1" s="3"/>
      <c r="AHS1" s="3"/>
      <c r="AHT1" s="3"/>
      <c r="AHU1" s="3"/>
      <c r="AHV1" s="3"/>
      <c r="AHW1" s="3"/>
      <c r="AHX1" s="3"/>
      <c r="AHY1" s="3"/>
      <c r="AHZ1" s="3"/>
      <c r="AIA1" s="3"/>
      <c r="AIB1" s="3"/>
      <c r="AIC1" s="3"/>
      <c r="AID1" s="3"/>
      <c r="AIE1" s="3"/>
      <c r="AIF1" s="3"/>
      <c r="AIG1" s="3"/>
      <c r="AIH1" s="3"/>
      <c r="AII1" s="3"/>
      <c r="AIJ1" s="3"/>
      <c r="AIK1" s="3"/>
      <c r="AIL1" s="3"/>
      <c r="AIM1" s="3"/>
      <c r="AIN1" s="3"/>
      <c r="AIO1" s="3"/>
      <c r="AIP1" s="3"/>
      <c r="AIQ1" s="3"/>
      <c r="AIR1" s="3"/>
      <c r="AIS1" s="3"/>
      <c r="AIT1" s="3"/>
      <c r="AIU1" s="3"/>
      <c r="AIV1" s="3"/>
      <c r="AIW1" s="3"/>
      <c r="AIX1" s="3"/>
      <c r="AIY1" s="3"/>
      <c r="AIZ1" s="3"/>
      <c r="AJA1" s="3"/>
      <c r="AJB1" s="3"/>
      <c r="AJC1" s="3"/>
      <c r="AJD1" s="3"/>
      <c r="AJE1" s="3"/>
      <c r="AJF1" s="3"/>
      <c r="AJG1" s="3"/>
      <c r="AJH1" s="3"/>
      <c r="AJI1" s="3"/>
      <c r="AJJ1" s="3"/>
      <c r="AJK1" s="3"/>
      <c r="AJL1" s="3"/>
      <c r="AJM1" s="3"/>
      <c r="AJN1" s="3"/>
      <c r="AJO1" s="3"/>
      <c r="AJP1" s="3"/>
      <c r="AJQ1" s="3"/>
      <c r="AJR1" s="3"/>
      <c r="AJS1" s="3"/>
      <c r="AJT1" s="3"/>
      <c r="AJU1" s="3"/>
      <c r="AJV1" s="3"/>
      <c r="AJW1" s="3"/>
      <c r="AJX1" s="3"/>
      <c r="AJY1" s="3"/>
      <c r="AJZ1" s="3"/>
      <c r="AKA1" s="3"/>
      <c r="AKB1" s="3"/>
      <c r="AKC1" s="3"/>
      <c r="AKD1" s="3"/>
      <c r="AKE1" s="3"/>
      <c r="AKF1" s="3"/>
      <c r="AKG1" s="3"/>
      <c r="AKH1" s="3"/>
      <c r="AKI1" s="3"/>
      <c r="AKJ1" s="3"/>
      <c r="AKK1" s="3"/>
      <c r="AKL1" s="3"/>
      <c r="AKM1" s="3"/>
      <c r="AKN1" s="3"/>
      <c r="AKO1" s="3"/>
      <c r="AKP1" s="3"/>
      <c r="AKQ1" s="3"/>
      <c r="AKR1" s="3"/>
      <c r="AKS1" s="3"/>
      <c r="AKT1" s="3"/>
      <c r="AKU1" s="3"/>
      <c r="AKV1" s="3"/>
      <c r="AKW1" s="3"/>
      <c r="AKX1" s="3"/>
      <c r="AKY1" s="3"/>
      <c r="AKZ1" s="3"/>
      <c r="ALA1" s="3"/>
      <c r="ALB1" s="3"/>
      <c r="ALC1" s="3"/>
      <c r="ALD1" s="3"/>
      <c r="ALE1" s="3"/>
      <c r="ALF1" s="3"/>
      <c r="ALG1" s="3"/>
      <c r="ALH1" s="3"/>
      <c r="ALI1" s="3"/>
      <c r="ALJ1" s="3"/>
      <c r="ALK1" s="3"/>
      <c r="ALL1" s="3"/>
      <c r="ALM1" s="3"/>
      <c r="ALN1" s="3"/>
      <c r="ALO1" s="3"/>
      <c r="ALP1" s="3"/>
      <c r="ALQ1" s="3"/>
      <c r="ALR1" s="3"/>
      <c r="ALS1" s="3"/>
      <c r="ALT1" s="3"/>
      <c r="ALU1" s="3"/>
      <c r="ALV1" s="3"/>
      <c r="ALW1" s="3"/>
      <c r="ALX1" s="3"/>
      <c r="ALY1" s="3"/>
      <c r="ALZ1" s="3"/>
      <c r="AMA1" s="3"/>
      <c r="AMB1" s="3"/>
      <c r="AMC1" s="3"/>
      <c r="AMD1" s="3"/>
      <c r="AME1" s="3"/>
      <c r="AMF1" s="3"/>
      <c r="AMG1" s="3"/>
      <c r="AMH1" s="3"/>
      <c r="AMI1" s="1"/>
      <c r="AMJ1" s="1"/>
    </row>
    <row r="2" customFormat="false" ht="12.8" hidden="false" customHeight="false" outlineLevel="0" collapsed="false">
      <c r="A2" s="1" t="s">
        <v>28</v>
      </c>
      <c r="B2" s="8" t="n">
        <v>1000</v>
      </c>
      <c r="C2" s="9" t="n">
        <f aca="false">B2</f>
        <v>1000</v>
      </c>
      <c r="D2" s="10"/>
      <c r="F2" s="1" t="s">
        <v>29</v>
      </c>
      <c r="G2" s="11" t="n">
        <v>0.25</v>
      </c>
    </row>
    <row r="3" customFormat="false" ht="12.8" hidden="false" customHeight="false" outlineLevel="0" collapsed="false">
      <c r="A3" s="1" t="s">
        <v>30</v>
      </c>
      <c r="B3" s="12" t="n">
        <v>183</v>
      </c>
      <c r="E3" s="1" t="s">
        <v>31</v>
      </c>
      <c r="F3" s="1" t="s">
        <v>32</v>
      </c>
      <c r="G3" s="10" t="n">
        <f aca="false">ROUND($B$2*G2,2)</f>
        <v>250</v>
      </c>
    </row>
    <row r="4" customFormat="false" ht="12.8" hidden="false" customHeight="false" outlineLevel="0" collapsed="false">
      <c r="A4" s="1" t="s">
        <v>33</v>
      </c>
      <c r="B4" s="9" t="n">
        <f aca="false">ROUND($G$3/2,2)</f>
        <v>125</v>
      </c>
      <c r="C4" s="9" t="n">
        <f aca="false">ROUND(C2-B4,0)</f>
        <v>875</v>
      </c>
      <c r="D4" s="10"/>
      <c r="E4" s="1" t="s">
        <v>34</v>
      </c>
      <c r="F4" s="1" t="s">
        <v>35</v>
      </c>
      <c r="G4" s="13" t="n">
        <v>1</v>
      </c>
    </row>
    <row r="5" customFormat="false" ht="12.8" hidden="false" customHeight="false" outlineLevel="0" collapsed="false">
      <c r="A5" s="1" t="s">
        <v>36</v>
      </c>
      <c r="B5" s="9" t="n">
        <f aca="false">$G$3</f>
        <v>250</v>
      </c>
      <c r="C5" s="9" t="n">
        <f aca="false">ROUND(C4-B5,2)</f>
        <v>625</v>
      </c>
      <c r="D5" s="10"/>
      <c r="E5" s="1" t="s">
        <v>37</v>
      </c>
    </row>
    <row r="6" customFormat="false" ht="12.8" hidden="false" customHeight="false" outlineLevel="0" collapsed="false">
      <c r="A6" s="1" t="s">
        <v>38</v>
      </c>
      <c r="B6" s="12" t="n">
        <v>31</v>
      </c>
      <c r="E6" s="1" t="s">
        <v>39</v>
      </c>
    </row>
    <row r="7" customFormat="false" ht="12.8" hidden="false" customHeight="false" outlineLevel="0" collapsed="false">
      <c r="A7" s="1" t="s">
        <v>40</v>
      </c>
      <c r="B7" s="9" t="n">
        <f aca="false">ROUND($G$3*B6/Intro!$N$3,2)</f>
        <v>21.23</v>
      </c>
      <c r="C7" s="9" t="n">
        <f aca="false">ROUND(C5-B7,2)</f>
        <v>603.77</v>
      </c>
      <c r="E7" s="1" t="s">
        <v>41</v>
      </c>
    </row>
    <row r="8" customFormat="false" ht="12.8" hidden="false" customHeight="false" outlineLevel="0" collapsed="false">
      <c r="A8" s="1" t="s">
        <v>42</v>
      </c>
      <c r="B8" s="9" t="n">
        <f aca="false">C7*$G$4</f>
        <v>603.77</v>
      </c>
      <c r="C8" s="9" t="n">
        <f aca="false">C7-B8</f>
        <v>0</v>
      </c>
      <c r="E8" s="1" t="s">
        <v>26</v>
      </c>
    </row>
    <row r="9" customFormat="false" ht="12.8" hidden="false" customHeight="false" outlineLevel="0" collapsed="false">
      <c r="A9" s="1" t="s">
        <v>43</v>
      </c>
      <c r="B9" s="8" t="n">
        <v>1400</v>
      </c>
      <c r="E9" s="1" t="s">
        <v>44</v>
      </c>
    </row>
    <row r="10" customFormat="false" ht="12.8" hidden="false" customHeight="false" outlineLevel="0" collapsed="false">
      <c r="A10" s="1" t="s">
        <v>45</v>
      </c>
      <c r="B10" s="9" t="n">
        <f aca="false">B9-B8</f>
        <v>796.23</v>
      </c>
      <c r="E10" s="1" t="s">
        <v>46</v>
      </c>
    </row>
    <row r="12" customFormat="false" ht="12.8" hidden="false" customHeight="false" outlineLevel="0" collapsed="false">
      <c r="D12" s="10"/>
    </row>
    <row r="13" customFormat="false" ht="12.8" hidden="false" customHeight="false" outlineLevel="0" collapsed="false">
      <c r="A13" s="1" t="s">
        <v>47</v>
      </c>
      <c r="B13" s="1" t="s">
        <v>48</v>
      </c>
      <c r="C13" s="1" t="s">
        <v>49</v>
      </c>
      <c r="F13" s="1" t="s">
        <v>48</v>
      </c>
      <c r="G13" s="1" t="s">
        <v>49</v>
      </c>
      <c r="H13" s="1" t="s">
        <v>50</v>
      </c>
      <c r="I13" s="1" t="s">
        <v>51</v>
      </c>
    </row>
    <row r="14" customFormat="false" ht="12.8" hidden="false" customHeight="false" outlineLevel="0" collapsed="false">
      <c r="E14" s="1" t="s">
        <v>52</v>
      </c>
      <c r="G14" s="10" t="n">
        <f aca="false">$B$2</f>
        <v>1000</v>
      </c>
      <c r="H14" s="10" t="n">
        <f aca="false">F14-G14</f>
        <v>-1000</v>
      </c>
    </row>
    <row r="15" customFormat="false" ht="12.8" hidden="false" customHeight="false" outlineLevel="0" collapsed="false">
      <c r="A15" s="1" t="s">
        <v>53</v>
      </c>
      <c r="E15" s="1" t="s">
        <v>54</v>
      </c>
      <c r="F15" s="10" t="n">
        <f aca="false">$B$2</f>
        <v>1000</v>
      </c>
      <c r="H15" s="10" t="n">
        <f aca="false">F15-G15</f>
        <v>1000</v>
      </c>
    </row>
    <row r="16" customFormat="false" ht="12.8" hidden="false" customHeight="false" outlineLevel="0" collapsed="false">
      <c r="A16" s="1" t="s">
        <v>55</v>
      </c>
      <c r="C16" s="10" t="n">
        <f aca="false">B4</f>
        <v>125</v>
      </c>
      <c r="E16" s="1" t="s">
        <v>55</v>
      </c>
      <c r="G16" s="10" t="n">
        <f aca="false">C16</f>
        <v>125</v>
      </c>
      <c r="H16" s="10" t="n">
        <f aca="false">F16-G16</f>
        <v>-125</v>
      </c>
    </row>
    <row r="17" customFormat="false" ht="12.8" hidden="false" customHeight="false" outlineLevel="0" collapsed="false">
      <c r="A17" s="1" t="s">
        <v>56</v>
      </c>
      <c r="B17" s="9" t="n">
        <f aca="false">B4</f>
        <v>125</v>
      </c>
      <c r="E17" s="1" t="s">
        <v>57</v>
      </c>
      <c r="F17" s="10" t="n">
        <f aca="false">B17</f>
        <v>125</v>
      </c>
      <c r="H17" s="10" t="n">
        <f aca="false">F17-G17</f>
        <v>125</v>
      </c>
    </row>
    <row r="18" customFormat="false" ht="12.8" hidden="false" customHeight="false" outlineLevel="0" collapsed="false">
      <c r="A18" s="14" t="s">
        <v>58</v>
      </c>
      <c r="B18" s="15" t="n">
        <f aca="false">SUM(B15:B17)</f>
        <v>125</v>
      </c>
      <c r="C18" s="15" t="n">
        <f aca="false">SUM(C15:C17)</f>
        <v>125</v>
      </c>
      <c r="E18" s="3" t="s">
        <v>59</v>
      </c>
      <c r="H18" s="6" t="n">
        <f aca="false">H15+H16</f>
        <v>875</v>
      </c>
      <c r="I18" s="16" t="n">
        <f aca="false">C4</f>
        <v>875</v>
      </c>
    </row>
    <row r="19" customFormat="false" ht="12.8" hidden="false" customHeight="false" outlineLevel="0" collapsed="false">
      <c r="G19" s="10"/>
      <c r="H19" s="10"/>
    </row>
    <row r="20" customFormat="false" ht="12.8" hidden="false" customHeight="false" outlineLevel="0" collapsed="false">
      <c r="A20" s="1" t="s">
        <v>60</v>
      </c>
      <c r="E20" s="1" t="s">
        <v>54</v>
      </c>
      <c r="F20" s="10" t="n">
        <f aca="false">$B$2</f>
        <v>1000</v>
      </c>
      <c r="H20" s="10" t="n">
        <f aca="false">F20-G20</f>
        <v>1000</v>
      </c>
    </row>
    <row r="21" customFormat="false" ht="12.8" hidden="false" customHeight="false" outlineLevel="0" collapsed="false">
      <c r="A21" s="1" t="s">
        <v>55</v>
      </c>
      <c r="C21" s="10" t="n">
        <f aca="false">B5</f>
        <v>250</v>
      </c>
      <c r="E21" s="1" t="s">
        <v>55</v>
      </c>
      <c r="G21" s="10" t="n">
        <f aca="false">G16+C21</f>
        <v>375</v>
      </c>
      <c r="H21" s="10" t="n">
        <f aca="false">F21-G21</f>
        <v>-375</v>
      </c>
    </row>
    <row r="22" customFormat="false" ht="12.8" hidden="false" customHeight="false" outlineLevel="0" collapsed="false">
      <c r="A22" s="1" t="s">
        <v>56</v>
      </c>
      <c r="B22" s="9" t="n">
        <f aca="false">B5</f>
        <v>250</v>
      </c>
      <c r="E22" s="1" t="s">
        <v>57</v>
      </c>
      <c r="F22" s="10" t="n">
        <f aca="false">B22</f>
        <v>250</v>
      </c>
      <c r="H22" s="10" t="n">
        <f aca="false">F22-G22</f>
        <v>250</v>
      </c>
    </row>
    <row r="23" customFormat="false" ht="12.8" hidden="false" customHeight="false" outlineLevel="0" collapsed="false">
      <c r="A23" s="14" t="s">
        <v>58</v>
      </c>
      <c r="B23" s="15" t="n">
        <f aca="false">SUM(B20:B22)</f>
        <v>250</v>
      </c>
      <c r="C23" s="15" t="n">
        <f aca="false">SUM(C20:C22)</f>
        <v>250</v>
      </c>
      <c r="E23" s="3" t="s">
        <v>59</v>
      </c>
      <c r="H23" s="6" t="n">
        <f aca="false">H20+H21</f>
        <v>625</v>
      </c>
      <c r="I23" s="16" t="n">
        <f aca="false">C5</f>
        <v>625</v>
      </c>
    </row>
    <row r="25" customFormat="false" ht="12.8" hidden="false" customHeight="false" outlineLevel="0" collapsed="false">
      <c r="A25" s="1" t="s">
        <v>61</v>
      </c>
      <c r="E25" s="1" t="s">
        <v>54</v>
      </c>
      <c r="F25" s="10" t="n">
        <f aca="false">$B$2</f>
        <v>1000</v>
      </c>
      <c r="H25" s="10" t="n">
        <f aca="false">F25-G25</f>
        <v>1000</v>
      </c>
    </row>
    <row r="26" customFormat="false" ht="12.8" hidden="false" customHeight="false" outlineLevel="0" collapsed="false">
      <c r="A26" s="1" t="s">
        <v>55</v>
      </c>
      <c r="C26" s="10" t="n">
        <f aca="false">B7</f>
        <v>21.23</v>
      </c>
      <c r="E26" s="1" t="s">
        <v>55</v>
      </c>
      <c r="G26" s="10" t="n">
        <f aca="false">G21+C26</f>
        <v>396.23</v>
      </c>
      <c r="H26" s="10" t="n">
        <f aca="false">F26-G26</f>
        <v>-396.23</v>
      </c>
    </row>
    <row r="27" customFormat="false" ht="12.8" hidden="false" customHeight="false" outlineLevel="0" collapsed="false">
      <c r="A27" s="1" t="s">
        <v>56</v>
      </c>
      <c r="B27" s="9" t="n">
        <f aca="false">B7</f>
        <v>21.23</v>
      </c>
      <c r="E27" s="1" t="s">
        <v>57</v>
      </c>
      <c r="F27" s="10" t="n">
        <f aca="false">B27</f>
        <v>21.23</v>
      </c>
      <c r="H27" s="10" t="n">
        <f aca="false">F27-G27</f>
        <v>21.23</v>
      </c>
    </row>
    <row r="28" customFormat="false" ht="12.8" hidden="false" customHeight="false" outlineLevel="0" collapsed="false">
      <c r="A28" s="14" t="s">
        <v>58</v>
      </c>
      <c r="B28" s="15" t="n">
        <f aca="false">SUM(B25:B27)</f>
        <v>21.23</v>
      </c>
      <c r="C28" s="15" t="n">
        <f aca="false">SUM(C25:C27)</f>
        <v>21.23</v>
      </c>
      <c r="E28" s="3" t="s">
        <v>59</v>
      </c>
      <c r="H28" s="6" t="n">
        <f aca="false">H25+H26</f>
        <v>603.77</v>
      </c>
      <c r="I28" s="16" t="n">
        <f aca="false">C7</f>
        <v>603.77</v>
      </c>
    </row>
    <row r="29" customFormat="false" ht="12.8" hidden="false" customHeight="false" outlineLevel="0" collapsed="false">
      <c r="A29" s="14"/>
      <c r="B29" s="15"/>
      <c r="C29" s="15"/>
    </row>
    <row r="30" customFormat="false" ht="12.8" hidden="false" customHeight="false" outlineLevel="0" collapsed="false">
      <c r="A30" s="1" t="s">
        <v>62</v>
      </c>
      <c r="E30" s="1" t="s">
        <v>54</v>
      </c>
      <c r="F30" s="10" t="n">
        <f aca="false">$B$2</f>
        <v>1000</v>
      </c>
      <c r="G30" s="10" t="n">
        <f aca="false">C32</f>
        <v>1400</v>
      </c>
      <c r="H30" s="10" t="n">
        <f aca="false">F30-G30</f>
        <v>-400</v>
      </c>
    </row>
    <row r="31" customFormat="false" ht="12.8" hidden="false" customHeight="false" outlineLevel="0" collapsed="false">
      <c r="A31" s="1" t="s">
        <v>63</v>
      </c>
      <c r="B31" s="10" t="n">
        <f aca="false">B9</f>
        <v>1400</v>
      </c>
      <c r="C31" s="10"/>
      <c r="E31" s="1" t="s">
        <v>55</v>
      </c>
      <c r="G31" s="10" t="n">
        <f aca="false">G26</f>
        <v>396.23</v>
      </c>
      <c r="H31" s="10" t="n">
        <f aca="false">F31-G31</f>
        <v>-396.23</v>
      </c>
    </row>
    <row r="32" customFormat="false" ht="12.8" hidden="false" customHeight="false" outlineLevel="0" collapsed="false">
      <c r="A32" s="1" t="s">
        <v>54</v>
      </c>
      <c r="B32" s="10"/>
      <c r="C32" s="10" t="n">
        <f aca="false">B9</f>
        <v>1400</v>
      </c>
      <c r="E32" s="1" t="s">
        <v>57</v>
      </c>
      <c r="F32" s="10" t="n">
        <f aca="false">B32</f>
        <v>0</v>
      </c>
      <c r="H32" s="10" t="n">
        <f aca="false">F32-G32</f>
        <v>0</v>
      </c>
    </row>
    <row r="33" customFormat="false" ht="12.8" hidden="false" customHeight="false" outlineLevel="0" collapsed="false">
      <c r="A33" s="14" t="s">
        <v>58</v>
      </c>
      <c r="B33" s="15" t="n">
        <f aca="false">SUM(B30:B32)</f>
        <v>1400</v>
      </c>
      <c r="C33" s="15" t="n">
        <f aca="false">SUM(C30:C32)</f>
        <v>1400</v>
      </c>
      <c r="E33" s="17" t="s">
        <v>59</v>
      </c>
      <c r="F33" s="18"/>
      <c r="G33" s="18"/>
      <c r="H33" s="19" t="n">
        <f aca="false">H30+H31</f>
        <v>-796.23</v>
      </c>
    </row>
    <row r="35" customFormat="false" ht="12.8" hidden="false" customHeight="false" outlineLevel="0" collapsed="false">
      <c r="A35" s="1" t="s">
        <v>42</v>
      </c>
      <c r="E35" s="1" t="s">
        <v>54</v>
      </c>
      <c r="F35" s="10" t="n">
        <f aca="false">F30+B36</f>
        <v>1400</v>
      </c>
      <c r="G35" s="10" t="n">
        <f aca="false">G30+C39</f>
        <v>1400</v>
      </c>
      <c r="H35" s="10" t="n">
        <f aca="false">F35-G35</f>
        <v>0</v>
      </c>
    </row>
    <row r="36" customFormat="false" ht="12.8" hidden="false" customHeight="false" outlineLevel="0" collapsed="false">
      <c r="A36" s="1" t="s">
        <v>54</v>
      </c>
      <c r="B36" s="10" t="n">
        <f aca="false">B10-G26</f>
        <v>400</v>
      </c>
      <c r="C36" s="10"/>
      <c r="E36" s="1" t="s">
        <v>55</v>
      </c>
      <c r="F36" s="10" t="n">
        <f aca="false">F26+B38</f>
        <v>396.23</v>
      </c>
      <c r="G36" s="10" t="n">
        <f aca="false">G26</f>
        <v>396.23</v>
      </c>
      <c r="H36" s="10" t="n">
        <f aca="false">F36-G36</f>
        <v>0</v>
      </c>
    </row>
    <row r="37" customFormat="false" ht="12.8" hidden="false" customHeight="false" outlineLevel="0" collapsed="false">
      <c r="A37" s="1" t="s">
        <v>45</v>
      </c>
      <c r="B37" s="10"/>
      <c r="C37" s="9" t="n">
        <f aca="false">B10</f>
        <v>796.23</v>
      </c>
      <c r="E37" s="1" t="s">
        <v>57</v>
      </c>
      <c r="F37" s="10" t="n">
        <f aca="false">B37</f>
        <v>0</v>
      </c>
      <c r="H37" s="10" t="n">
        <f aca="false">F37-G37</f>
        <v>0</v>
      </c>
    </row>
    <row r="38" customFormat="false" ht="12.8" hidden="false" customHeight="false" outlineLevel="0" collapsed="false">
      <c r="A38" s="1" t="s">
        <v>55</v>
      </c>
      <c r="B38" s="10" t="n">
        <f aca="false">G26</f>
        <v>396.23</v>
      </c>
      <c r="C38" s="10"/>
      <c r="E38" s="1" t="s">
        <v>45</v>
      </c>
      <c r="F38" s="10"/>
      <c r="G38" s="10" t="n">
        <f aca="false">C37</f>
        <v>796.23</v>
      </c>
      <c r="H38" s="10" t="n">
        <f aca="false">F38-G38</f>
        <v>-796.23</v>
      </c>
    </row>
    <row r="39" customFormat="false" ht="12.8" hidden="false" customHeight="false" outlineLevel="0" collapsed="false">
      <c r="A39" s="1" t="s">
        <v>54</v>
      </c>
      <c r="B39" s="10"/>
      <c r="C39" s="10" t="n">
        <v>0</v>
      </c>
      <c r="E39" s="3" t="s">
        <v>59</v>
      </c>
      <c r="H39" s="6" t="n">
        <f aca="false">H35+H36</f>
        <v>0</v>
      </c>
      <c r="I39" s="16" t="n">
        <f aca="false">C8</f>
        <v>0</v>
      </c>
    </row>
    <row r="40" customFormat="false" ht="12.8" hidden="false" customHeight="false" outlineLevel="0" collapsed="false">
      <c r="A40" s="14" t="s">
        <v>58</v>
      </c>
      <c r="B40" s="15" t="n">
        <f aca="false">SUM(B35:B39)</f>
        <v>796.23</v>
      </c>
      <c r="C40" s="15" t="n">
        <f aca="false">SUM(C35:C39)</f>
        <v>796.23</v>
      </c>
      <c r="H40" s="10"/>
    </row>
    <row r="42" customFormat="false" ht="12.8" hidden="false" customHeight="false" outlineLevel="0" collapsed="false">
      <c r="A42" s="1" t="s">
        <v>64</v>
      </c>
    </row>
    <row r="43" customFormat="false" ht="12.8" hidden="false" customHeight="false" outlineLevel="0" collapsed="false">
      <c r="A43" s="1" t="s">
        <v>54</v>
      </c>
      <c r="B43" s="10"/>
      <c r="C43" s="10" t="n">
        <f aca="false">C32-B36</f>
        <v>1000</v>
      </c>
      <c r="E43" s="1" t="s">
        <v>54</v>
      </c>
      <c r="F43" s="10" t="n">
        <f aca="false">F25</f>
        <v>1000</v>
      </c>
      <c r="G43" s="10" t="n">
        <f aca="false">G25+C43</f>
        <v>1000</v>
      </c>
      <c r="H43" s="10" t="n">
        <f aca="false">F43-G43</f>
        <v>0</v>
      </c>
    </row>
    <row r="44" customFormat="false" ht="12.8" hidden="false" customHeight="false" outlineLevel="0" collapsed="false">
      <c r="A44" s="1" t="s">
        <v>45</v>
      </c>
      <c r="B44" s="10"/>
      <c r="C44" s="9" t="n">
        <f aca="false">C37</f>
        <v>796.23</v>
      </c>
      <c r="E44" s="1" t="s">
        <v>55</v>
      </c>
      <c r="F44" s="10" t="n">
        <f aca="false">F26+B45</f>
        <v>396.23</v>
      </c>
      <c r="G44" s="10" t="n">
        <f aca="false">G26</f>
        <v>396.23</v>
      </c>
      <c r="H44" s="10" t="n">
        <f aca="false">F44-G44</f>
        <v>0</v>
      </c>
    </row>
    <row r="45" customFormat="false" ht="12.8" hidden="false" customHeight="false" outlineLevel="0" collapsed="false">
      <c r="A45" s="1" t="s">
        <v>55</v>
      </c>
      <c r="B45" s="10" t="n">
        <f aca="false">B38</f>
        <v>396.23</v>
      </c>
      <c r="C45" s="10"/>
      <c r="E45" s="1" t="s">
        <v>57</v>
      </c>
      <c r="F45" s="10" t="n">
        <v>0</v>
      </c>
      <c r="H45" s="10" t="n">
        <f aca="false">F45-G45</f>
        <v>0</v>
      </c>
    </row>
    <row r="46" customFormat="false" ht="12.8" hidden="false" customHeight="false" outlineLevel="0" collapsed="false">
      <c r="A46" s="1" t="s">
        <v>65</v>
      </c>
      <c r="B46" s="10" t="n">
        <f aca="false">B9</f>
        <v>1400</v>
      </c>
      <c r="C46" s="10"/>
      <c r="F46" s="10"/>
      <c r="H46" s="10"/>
    </row>
    <row r="47" customFormat="false" ht="12.8" hidden="false" customHeight="false" outlineLevel="0" collapsed="false">
      <c r="A47" s="14" t="s">
        <v>58</v>
      </c>
      <c r="B47" s="15" t="n">
        <f aca="false">SUM(B42:B46)</f>
        <v>1796.23</v>
      </c>
      <c r="C47" s="15" t="n">
        <f aca="false">SUM(C42:C46)</f>
        <v>1796.23</v>
      </c>
      <c r="E47" s="1" t="s">
        <v>45</v>
      </c>
      <c r="F47" s="10"/>
      <c r="G47" s="10" t="n">
        <f aca="false">C44</f>
        <v>796.23</v>
      </c>
      <c r="H47" s="10" t="n">
        <f aca="false">F47-G47</f>
        <v>-796.23</v>
      </c>
    </row>
    <row r="48" customFormat="false" ht="12.8" hidden="false" customHeight="false" outlineLevel="0" collapsed="false">
      <c r="E48" s="3" t="s">
        <v>59</v>
      </c>
      <c r="H48" s="6" t="n">
        <f aca="false">H43+H44</f>
        <v>0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&amp;CPagina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J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7" activeCellId="0" sqref="B7"/>
    </sheetView>
  </sheetViews>
  <sheetFormatPr defaultColWidth="11.5703125" defaultRowHeight="12.8" zeroHeight="false" outlineLevelRow="0" outlineLevelCol="0"/>
  <cols>
    <col collapsed="false" customWidth="true" hidden="false" outlineLevel="0" max="1" min="1" style="1" width="20.98"/>
    <col collapsed="false" customWidth="true" hidden="false" outlineLevel="0" max="3" min="2" style="1" width="10.39"/>
    <col collapsed="false" customWidth="true" hidden="false" outlineLevel="0" max="4" min="4" style="1" width="11.72"/>
    <col collapsed="false" customWidth="true" hidden="false" outlineLevel="0" max="5" min="5" style="1" width="47.56"/>
    <col collapsed="false" customWidth="true" hidden="false" outlineLevel="0" max="6" min="6" style="1" width="9.26"/>
    <col collapsed="false" customWidth="true" hidden="false" outlineLevel="0" max="7" min="7" style="1" width="9.91"/>
    <col collapsed="false" customWidth="false" hidden="false" outlineLevel="0" max="1021" min="8" style="4" width="11.57"/>
    <col collapsed="false" customWidth="false" hidden="false" outlineLevel="0" max="1023" min="1023" style="4" width="11.57"/>
  </cols>
  <sheetData>
    <row r="1" customFormat="false" ht="12.8" hidden="false" customHeight="false" outlineLevel="0" collapsed="false">
      <c r="A1" s="3" t="s">
        <v>24</v>
      </c>
      <c r="B1" s="6" t="s">
        <v>25</v>
      </c>
      <c r="C1" s="6" t="s">
        <v>26</v>
      </c>
      <c r="D1" s="6"/>
      <c r="E1" s="3" t="s">
        <v>27</v>
      </c>
      <c r="F1" s="3"/>
      <c r="G1" s="7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3"/>
      <c r="CI1" s="3"/>
      <c r="CJ1" s="3"/>
      <c r="CK1" s="3"/>
      <c r="CL1" s="3"/>
      <c r="CM1" s="3"/>
      <c r="CN1" s="3"/>
      <c r="CO1" s="3"/>
      <c r="CP1" s="3"/>
      <c r="CQ1" s="3"/>
      <c r="CR1" s="3"/>
      <c r="CS1" s="3"/>
      <c r="CT1" s="3"/>
      <c r="CU1" s="3"/>
      <c r="CV1" s="3"/>
      <c r="CW1" s="3"/>
      <c r="CX1" s="3"/>
      <c r="CY1" s="3"/>
      <c r="CZ1" s="3"/>
      <c r="DA1" s="3"/>
      <c r="DB1" s="3"/>
      <c r="DC1" s="3"/>
      <c r="DD1" s="3"/>
      <c r="DE1" s="3"/>
      <c r="DF1" s="3"/>
      <c r="DG1" s="3"/>
      <c r="DH1" s="3"/>
      <c r="DI1" s="3"/>
      <c r="DJ1" s="3"/>
      <c r="DK1" s="3"/>
      <c r="DL1" s="3"/>
      <c r="DM1" s="3"/>
      <c r="DN1" s="3"/>
      <c r="DO1" s="3"/>
      <c r="DP1" s="3"/>
      <c r="DQ1" s="3"/>
      <c r="DR1" s="3"/>
      <c r="DS1" s="3"/>
      <c r="DT1" s="3"/>
      <c r="DU1" s="3"/>
      <c r="DV1" s="3"/>
      <c r="DW1" s="3"/>
      <c r="DX1" s="3"/>
      <c r="DY1" s="3"/>
      <c r="DZ1" s="3"/>
      <c r="EA1" s="3"/>
      <c r="EB1" s="3"/>
      <c r="EC1" s="3"/>
      <c r="ED1" s="3"/>
      <c r="EE1" s="3"/>
      <c r="EF1" s="3"/>
      <c r="EG1" s="3"/>
      <c r="EH1" s="3"/>
      <c r="EI1" s="3"/>
      <c r="EJ1" s="3"/>
      <c r="EK1" s="3"/>
      <c r="EL1" s="3"/>
      <c r="EM1" s="3"/>
      <c r="EN1" s="3"/>
      <c r="EO1" s="3"/>
      <c r="EP1" s="3"/>
      <c r="EQ1" s="3"/>
      <c r="ER1" s="3"/>
      <c r="ES1" s="3"/>
      <c r="ET1" s="3"/>
      <c r="EU1" s="3"/>
      <c r="EV1" s="3"/>
      <c r="EW1" s="3"/>
      <c r="EX1" s="3"/>
      <c r="EY1" s="3"/>
      <c r="EZ1" s="3"/>
      <c r="FA1" s="3"/>
      <c r="FB1" s="3"/>
      <c r="FC1" s="3"/>
      <c r="FD1" s="3"/>
      <c r="FE1" s="3"/>
      <c r="FF1" s="3"/>
      <c r="FG1" s="3"/>
      <c r="FH1" s="3"/>
      <c r="FI1" s="3"/>
      <c r="FJ1" s="3"/>
      <c r="FK1" s="3"/>
      <c r="FL1" s="3"/>
      <c r="FM1" s="3"/>
      <c r="FN1" s="3"/>
      <c r="FO1" s="3"/>
      <c r="FP1" s="3"/>
      <c r="FQ1" s="3"/>
      <c r="FR1" s="3"/>
      <c r="FS1" s="3"/>
      <c r="FT1" s="3"/>
      <c r="FU1" s="3"/>
      <c r="FV1" s="3"/>
      <c r="FW1" s="3"/>
      <c r="FX1" s="3"/>
      <c r="FY1" s="3"/>
      <c r="FZ1" s="3"/>
      <c r="GA1" s="3"/>
      <c r="GB1" s="3"/>
      <c r="GC1" s="3"/>
      <c r="GD1" s="3"/>
      <c r="GE1" s="3"/>
      <c r="GF1" s="3"/>
      <c r="GG1" s="3"/>
      <c r="GH1" s="3"/>
      <c r="GI1" s="3"/>
      <c r="GJ1" s="3"/>
      <c r="GK1" s="3"/>
      <c r="GL1" s="3"/>
      <c r="GM1" s="3"/>
      <c r="GN1" s="3"/>
      <c r="GO1" s="3"/>
      <c r="GP1" s="3"/>
      <c r="GQ1" s="3"/>
      <c r="GR1" s="3"/>
      <c r="GS1" s="3"/>
      <c r="GT1" s="3"/>
      <c r="GU1" s="3"/>
      <c r="GV1" s="3"/>
      <c r="GW1" s="3"/>
      <c r="GX1" s="3"/>
      <c r="GY1" s="3"/>
      <c r="GZ1" s="3"/>
      <c r="HA1" s="3"/>
      <c r="HB1" s="3"/>
      <c r="HC1" s="3"/>
      <c r="HD1" s="3"/>
      <c r="HE1" s="3"/>
      <c r="HF1" s="3"/>
      <c r="HG1" s="3"/>
      <c r="HH1" s="3"/>
      <c r="HI1" s="3"/>
      <c r="HJ1" s="3"/>
      <c r="HK1" s="3"/>
      <c r="HL1" s="3"/>
      <c r="HM1" s="3"/>
      <c r="HN1" s="3"/>
      <c r="HO1" s="3"/>
      <c r="HP1" s="3"/>
      <c r="HQ1" s="3"/>
      <c r="HR1" s="3"/>
      <c r="HS1" s="3"/>
      <c r="HT1" s="3"/>
      <c r="HU1" s="3"/>
      <c r="HV1" s="3"/>
      <c r="HW1" s="3"/>
      <c r="HX1" s="3"/>
      <c r="HY1" s="3"/>
      <c r="HZ1" s="3"/>
      <c r="IA1" s="3"/>
      <c r="IB1" s="3"/>
      <c r="IC1" s="3"/>
      <c r="ID1" s="3"/>
      <c r="IE1" s="3"/>
      <c r="IF1" s="3"/>
      <c r="IG1" s="3"/>
      <c r="IH1" s="3"/>
      <c r="II1" s="3"/>
      <c r="IJ1" s="3"/>
      <c r="IK1" s="3"/>
      <c r="IL1" s="3"/>
      <c r="IM1" s="3"/>
      <c r="IN1" s="3"/>
      <c r="IO1" s="3"/>
      <c r="IP1" s="3"/>
      <c r="IQ1" s="3"/>
      <c r="IR1" s="3"/>
      <c r="IS1" s="3"/>
      <c r="IT1" s="3"/>
      <c r="IU1" s="3"/>
      <c r="IV1" s="3"/>
      <c r="IW1" s="3"/>
      <c r="IX1" s="3"/>
      <c r="IY1" s="3"/>
      <c r="IZ1" s="3"/>
      <c r="JA1" s="3"/>
      <c r="JB1" s="3"/>
      <c r="JC1" s="3"/>
      <c r="JD1" s="3"/>
      <c r="JE1" s="3"/>
      <c r="JF1" s="3"/>
      <c r="JG1" s="3"/>
      <c r="JH1" s="3"/>
      <c r="JI1" s="3"/>
      <c r="JJ1" s="3"/>
      <c r="JK1" s="3"/>
      <c r="JL1" s="3"/>
      <c r="JM1" s="3"/>
      <c r="JN1" s="3"/>
      <c r="JO1" s="3"/>
      <c r="JP1" s="3"/>
      <c r="JQ1" s="3"/>
      <c r="JR1" s="3"/>
      <c r="JS1" s="3"/>
      <c r="JT1" s="3"/>
      <c r="JU1" s="3"/>
      <c r="JV1" s="3"/>
      <c r="JW1" s="3"/>
      <c r="JX1" s="3"/>
      <c r="JY1" s="3"/>
      <c r="JZ1" s="3"/>
      <c r="KA1" s="3"/>
      <c r="KB1" s="3"/>
      <c r="KC1" s="3"/>
      <c r="KD1" s="3"/>
      <c r="KE1" s="3"/>
      <c r="KF1" s="3"/>
      <c r="KG1" s="3"/>
      <c r="KH1" s="3"/>
      <c r="KI1" s="3"/>
      <c r="KJ1" s="3"/>
      <c r="KK1" s="3"/>
      <c r="KL1" s="3"/>
      <c r="KM1" s="3"/>
      <c r="KN1" s="3"/>
      <c r="KO1" s="3"/>
      <c r="KP1" s="3"/>
      <c r="KQ1" s="3"/>
      <c r="KR1" s="3"/>
      <c r="KS1" s="3"/>
      <c r="KT1" s="3"/>
      <c r="KU1" s="3"/>
      <c r="KV1" s="3"/>
      <c r="KW1" s="3"/>
      <c r="KX1" s="3"/>
      <c r="KY1" s="3"/>
      <c r="KZ1" s="3"/>
      <c r="LA1" s="3"/>
      <c r="LB1" s="3"/>
      <c r="LC1" s="3"/>
      <c r="LD1" s="3"/>
      <c r="LE1" s="3"/>
      <c r="LF1" s="3"/>
      <c r="LG1" s="3"/>
      <c r="LH1" s="3"/>
      <c r="LI1" s="3"/>
      <c r="LJ1" s="3"/>
      <c r="LK1" s="3"/>
      <c r="LL1" s="3"/>
      <c r="LM1" s="3"/>
      <c r="LN1" s="3"/>
      <c r="LO1" s="3"/>
      <c r="LP1" s="3"/>
      <c r="LQ1" s="3"/>
      <c r="LR1" s="3"/>
      <c r="LS1" s="3"/>
      <c r="LT1" s="3"/>
      <c r="LU1" s="3"/>
      <c r="LV1" s="3"/>
      <c r="LW1" s="3"/>
      <c r="LX1" s="3"/>
      <c r="LY1" s="3"/>
      <c r="LZ1" s="3"/>
      <c r="MA1" s="3"/>
      <c r="MB1" s="3"/>
      <c r="MC1" s="3"/>
      <c r="MD1" s="3"/>
      <c r="ME1" s="3"/>
      <c r="MF1" s="3"/>
      <c r="MG1" s="3"/>
      <c r="MH1" s="3"/>
      <c r="MI1" s="3"/>
      <c r="MJ1" s="3"/>
      <c r="MK1" s="3"/>
      <c r="ML1" s="3"/>
      <c r="MM1" s="3"/>
      <c r="MN1" s="3"/>
      <c r="MO1" s="3"/>
      <c r="MP1" s="3"/>
      <c r="MQ1" s="3"/>
      <c r="MR1" s="3"/>
      <c r="MS1" s="3"/>
      <c r="MT1" s="3"/>
      <c r="MU1" s="3"/>
      <c r="MV1" s="3"/>
      <c r="MW1" s="3"/>
      <c r="MX1" s="3"/>
      <c r="MY1" s="3"/>
      <c r="MZ1" s="3"/>
      <c r="NA1" s="3"/>
      <c r="NB1" s="3"/>
      <c r="NC1" s="3"/>
      <c r="ND1" s="3"/>
      <c r="NE1" s="3"/>
      <c r="NF1" s="3"/>
      <c r="NG1" s="3"/>
      <c r="NH1" s="3"/>
      <c r="NI1" s="3"/>
      <c r="NJ1" s="3"/>
      <c r="NK1" s="3"/>
      <c r="NL1" s="3"/>
      <c r="NM1" s="3"/>
      <c r="NN1" s="3"/>
      <c r="NO1" s="3"/>
      <c r="NP1" s="3"/>
      <c r="NQ1" s="3"/>
      <c r="NR1" s="3"/>
      <c r="NS1" s="3"/>
      <c r="NT1" s="3"/>
      <c r="NU1" s="3"/>
      <c r="NV1" s="3"/>
      <c r="NW1" s="3"/>
      <c r="NX1" s="3"/>
      <c r="NY1" s="3"/>
      <c r="NZ1" s="3"/>
      <c r="OA1" s="3"/>
      <c r="OB1" s="3"/>
      <c r="OC1" s="3"/>
      <c r="OD1" s="3"/>
      <c r="OE1" s="3"/>
      <c r="OF1" s="3"/>
      <c r="OG1" s="3"/>
      <c r="OH1" s="3"/>
      <c r="OI1" s="3"/>
      <c r="OJ1" s="3"/>
      <c r="OK1" s="3"/>
      <c r="OL1" s="3"/>
      <c r="OM1" s="3"/>
      <c r="ON1" s="3"/>
      <c r="OO1" s="3"/>
      <c r="OP1" s="3"/>
      <c r="OQ1" s="3"/>
      <c r="OR1" s="3"/>
      <c r="OS1" s="3"/>
      <c r="OT1" s="3"/>
      <c r="OU1" s="3"/>
      <c r="OV1" s="3"/>
      <c r="OW1" s="3"/>
      <c r="OX1" s="3"/>
      <c r="OY1" s="3"/>
      <c r="OZ1" s="3"/>
      <c r="PA1" s="3"/>
      <c r="PB1" s="3"/>
      <c r="PC1" s="3"/>
      <c r="PD1" s="3"/>
      <c r="PE1" s="3"/>
      <c r="PF1" s="3"/>
      <c r="PG1" s="3"/>
      <c r="PH1" s="3"/>
      <c r="PI1" s="3"/>
      <c r="PJ1" s="3"/>
      <c r="PK1" s="3"/>
      <c r="PL1" s="3"/>
      <c r="PM1" s="3"/>
      <c r="PN1" s="3"/>
      <c r="PO1" s="3"/>
      <c r="PP1" s="3"/>
      <c r="PQ1" s="3"/>
      <c r="PR1" s="3"/>
      <c r="PS1" s="3"/>
      <c r="PT1" s="3"/>
      <c r="PU1" s="3"/>
      <c r="PV1" s="3"/>
      <c r="PW1" s="3"/>
      <c r="PX1" s="3"/>
      <c r="PY1" s="3"/>
      <c r="PZ1" s="3"/>
      <c r="QA1" s="3"/>
      <c r="QB1" s="3"/>
      <c r="QC1" s="3"/>
      <c r="QD1" s="3"/>
      <c r="QE1" s="3"/>
      <c r="QF1" s="3"/>
      <c r="QG1" s="3"/>
      <c r="QH1" s="3"/>
      <c r="QI1" s="3"/>
      <c r="QJ1" s="3"/>
      <c r="QK1" s="3"/>
      <c r="QL1" s="3"/>
      <c r="QM1" s="3"/>
      <c r="QN1" s="3"/>
      <c r="QO1" s="3"/>
      <c r="QP1" s="3"/>
      <c r="QQ1" s="3"/>
      <c r="QR1" s="3"/>
      <c r="QS1" s="3"/>
      <c r="QT1" s="3"/>
      <c r="QU1" s="3"/>
      <c r="QV1" s="3"/>
      <c r="QW1" s="3"/>
      <c r="QX1" s="3"/>
      <c r="QY1" s="3"/>
      <c r="QZ1" s="3"/>
      <c r="RA1" s="3"/>
      <c r="RB1" s="3"/>
      <c r="RC1" s="3"/>
      <c r="RD1" s="3"/>
      <c r="RE1" s="3"/>
      <c r="RF1" s="3"/>
      <c r="RG1" s="3"/>
      <c r="RH1" s="3"/>
      <c r="RI1" s="3"/>
      <c r="RJ1" s="3"/>
      <c r="RK1" s="3"/>
      <c r="RL1" s="3"/>
      <c r="RM1" s="3"/>
      <c r="RN1" s="3"/>
      <c r="RO1" s="3"/>
      <c r="RP1" s="3"/>
      <c r="RQ1" s="3"/>
      <c r="RR1" s="3"/>
      <c r="RS1" s="3"/>
      <c r="RT1" s="3"/>
      <c r="RU1" s="3"/>
      <c r="RV1" s="3"/>
      <c r="RW1" s="3"/>
      <c r="RX1" s="3"/>
      <c r="RY1" s="3"/>
      <c r="RZ1" s="3"/>
      <c r="SA1" s="3"/>
      <c r="SB1" s="3"/>
      <c r="SC1" s="3"/>
      <c r="SD1" s="3"/>
      <c r="SE1" s="3"/>
      <c r="SF1" s="3"/>
      <c r="SG1" s="3"/>
      <c r="SH1" s="3"/>
      <c r="SI1" s="3"/>
      <c r="SJ1" s="3"/>
      <c r="SK1" s="3"/>
      <c r="SL1" s="3"/>
      <c r="SM1" s="3"/>
      <c r="SN1" s="3"/>
      <c r="SO1" s="3"/>
      <c r="SP1" s="3"/>
      <c r="SQ1" s="3"/>
      <c r="SR1" s="3"/>
      <c r="SS1" s="3"/>
      <c r="ST1" s="3"/>
      <c r="SU1" s="3"/>
      <c r="SV1" s="3"/>
      <c r="SW1" s="3"/>
      <c r="SX1" s="3"/>
      <c r="SY1" s="3"/>
      <c r="SZ1" s="3"/>
      <c r="TA1" s="3"/>
      <c r="TB1" s="3"/>
      <c r="TC1" s="3"/>
      <c r="TD1" s="3"/>
      <c r="TE1" s="3"/>
      <c r="TF1" s="3"/>
      <c r="TG1" s="3"/>
      <c r="TH1" s="3"/>
      <c r="TI1" s="3"/>
      <c r="TJ1" s="3"/>
      <c r="TK1" s="3"/>
      <c r="TL1" s="3"/>
      <c r="TM1" s="3"/>
      <c r="TN1" s="3"/>
      <c r="TO1" s="3"/>
      <c r="TP1" s="3"/>
      <c r="TQ1" s="3"/>
      <c r="TR1" s="3"/>
      <c r="TS1" s="3"/>
      <c r="TT1" s="3"/>
      <c r="TU1" s="3"/>
      <c r="TV1" s="3"/>
      <c r="TW1" s="3"/>
      <c r="TX1" s="3"/>
      <c r="TY1" s="3"/>
      <c r="TZ1" s="3"/>
      <c r="UA1" s="3"/>
      <c r="UB1" s="3"/>
      <c r="UC1" s="3"/>
      <c r="UD1" s="3"/>
      <c r="UE1" s="3"/>
      <c r="UF1" s="3"/>
      <c r="UG1" s="3"/>
      <c r="UH1" s="3"/>
      <c r="UI1" s="3"/>
      <c r="UJ1" s="3"/>
      <c r="UK1" s="3"/>
      <c r="UL1" s="3"/>
      <c r="UM1" s="3"/>
      <c r="UN1" s="3"/>
      <c r="UO1" s="3"/>
      <c r="UP1" s="3"/>
      <c r="UQ1" s="3"/>
      <c r="UR1" s="3"/>
      <c r="US1" s="3"/>
      <c r="UT1" s="3"/>
      <c r="UU1" s="3"/>
      <c r="UV1" s="3"/>
      <c r="UW1" s="3"/>
      <c r="UX1" s="3"/>
      <c r="UY1" s="3"/>
      <c r="UZ1" s="3"/>
      <c r="VA1" s="3"/>
      <c r="VB1" s="3"/>
      <c r="VC1" s="3"/>
      <c r="VD1" s="3"/>
      <c r="VE1" s="3"/>
      <c r="VF1" s="3"/>
      <c r="VG1" s="3"/>
      <c r="VH1" s="3"/>
      <c r="VI1" s="3"/>
      <c r="VJ1" s="3"/>
      <c r="VK1" s="3"/>
      <c r="VL1" s="3"/>
      <c r="VM1" s="3"/>
      <c r="VN1" s="3"/>
      <c r="VO1" s="3"/>
      <c r="VP1" s="3"/>
      <c r="VQ1" s="3"/>
      <c r="VR1" s="3"/>
      <c r="VS1" s="3"/>
      <c r="VT1" s="3"/>
      <c r="VU1" s="3"/>
      <c r="VV1" s="3"/>
      <c r="VW1" s="3"/>
      <c r="VX1" s="3"/>
      <c r="VY1" s="3"/>
      <c r="VZ1" s="3"/>
      <c r="WA1" s="3"/>
      <c r="WB1" s="3"/>
      <c r="WC1" s="3"/>
      <c r="WD1" s="3"/>
      <c r="WE1" s="3"/>
      <c r="WF1" s="3"/>
      <c r="WG1" s="3"/>
      <c r="WH1" s="3"/>
      <c r="WI1" s="3"/>
      <c r="WJ1" s="3"/>
      <c r="WK1" s="3"/>
      <c r="WL1" s="3"/>
      <c r="WM1" s="3"/>
      <c r="WN1" s="3"/>
      <c r="WO1" s="3"/>
      <c r="WP1" s="3"/>
      <c r="WQ1" s="3"/>
      <c r="WR1" s="3"/>
      <c r="WS1" s="3"/>
      <c r="WT1" s="3"/>
      <c r="WU1" s="3"/>
      <c r="WV1" s="3"/>
      <c r="WW1" s="3"/>
      <c r="WX1" s="3"/>
      <c r="WY1" s="3"/>
      <c r="WZ1" s="3"/>
      <c r="XA1" s="3"/>
      <c r="XB1" s="3"/>
      <c r="XC1" s="3"/>
      <c r="XD1" s="3"/>
      <c r="XE1" s="3"/>
      <c r="XF1" s="3"/>
      <c r="XG1" s="3"/>
      <c r="XH1" s="3"/>
      <c r="XI1" s="3"/>
      <c r="XJ1" s="3"/>
      <c r="XK1" s="3"/>
      <c r="XL1" s="3"/>
      <c r="XM1" s="3"/>
      <c r="XN1" s="3"/>
      <c r="XO1" s="3"/>
      <c r="XP1" s="3"/>
      <c r="XQ1" s="3"/>
      <c r="XR1" s="3"/>
      <c r="XS1" s="3"/>
      <c r="XT1" s="3"/>
      <c r="XU1" s="3"/>
      <c r="XV1" s="3"/>
      <c r="XW1" s="3"/>
      <c r="XX1" s="3"/>
      <c r="XY1" s="3"/>
      <c r="XZ1" s="3"/>
      <c r="YA1" s="3"/>
      <c r="YB1" s="3"/>
      <c r="YC1" s="3"/>
      <c r="YD1" s="3"/>
      <c r="YE1" s="3"/>
      <c r="YF1" s="3"/>
      <c r="YG1" s="3"/>
      <c r="YH1" s="3"/>
      <c r="YI1" s="3"/>
      <c r="YJ1" s="3"/>
      <c r="YK1" s="3"/>
      <c r="YL1" s="3"/>
      <c r="YM1" s="3"/>
      <c r="YN1" s="3"/>
      <c r="YO1" s="3"/>
      <c r="YP1" s="3"/>
      <c r="YQ1" s="3"/>
      <c r="YR1" s="3"/>
      <c r="YS1" s="3"/>
      <c r="YT1" s="3"/>
      <c r="YU1" s="3"/>
      <c r="YV1" s="3"/>
      <c r="YW1" s="3"/>
      <c r="YX1" s="3"/>
      <c r="YY1" s="3"/>
      <c r="YZ1" s="3"/>
      <c r="ZA1" s="3"/>
      <c r="ZB1" s="3"/>
      <c r="ZC1" s="3"/>
      <c r="ZD1" s="3"/>
      <c r="ZE1" s="3"/>
      <c r="ZF1" s="3"/>
      <c r="ZG1" s="3"/>
      <c r="ZH1" s="3"/>
      <c r="ZI1" s="3"/>
      <c r="ZJ1" s="3"/>
      <c r="ZK1" s="3"/>
      <c r="ZL1" s="3"/>
      <c r="ZM1" s="3"/>
      <c r="ZN1" s="3"/>
      <c r="ZO1" s="3"/>
      <c r="ZP1" s="3"/>
      <c r="ZQ1" s="3"/>
      <c r="ZR1" s="3"/>
      <c r="ZS1" s="3"/>
      <c r="ZT1" s="3"/>
      <c r="ZU1" s="3"/>
      <c r="ZV1" s="3"/>
      <c r="ZW1" s="3"/>
      <c r="ZX1" s="3"/>
      <c r="ZY1" s="3"/>
      <c r="ZZ1" s="3"/>
      <c r="AAA1" s="3"/>
      <c r="AAB1" s="3"/>
      <c r="AAC1" s="3"/>
      <c r="AAD1" s="3"/>
      <c r="AAE1" s="3"/>
      <c r="AAF1" s="3"/>
      <c r="AAG1" s="3"/>
      <c r="AAH1" s="3"/>
      <c r="AAI1" s="3"/>
      <c r="AAJ1" s="3"/>
      <c r="AAK1" s="3"/>
      <c r="AAL1" s="3"/>
      <c r="AAM1" s="3"/>
      <c r="AAN1" s="3"/>
      <c r="AAO1" s="3"/>
      <c r="AAP1" s="3"/>
      <c r="AAQ1" s="3"/>
      <c r="AAR1" s="3"/>
      <c r="AAS1" s="3"/>
      <c r="AAT1" s="3"/>
      <c r="AAU1" s="3"/>
      <c r="AAV1" s="3"/>
      <c r="AAW1" s="3"/>
      <c r="AAX1" s="3"/>
      <c r="AAY1" s="3"/>
      <c r="AAZ1" s="3"/>
      <c r="ABA1" s="3"/>
      <c r="ABB1" s="3"/>
      <c r="ABC1" s="3"/>
      <c r="ABD1" s="3"/>
      <c r="ABE1" s="3"/>
      <c r="ABF1" s="3"/>
      <c r="ABG1" s="3"/>
      <c r="ABH1" s="3"/>
      <c r="ABI1" s="3"/>
      <c r="ABJ1" s="3"/>
      <c r="ABK1" s="3"/>
      <c r="ABL1" s="3"/>
      <c r="ABM1" s="3"/>
      <c r="ABN1" s="3"/>
      <c r="ABO1" s="3"/>
      <c r="ABP1" s="3"/>
      <c r="ABQ1" s="3"/>
      <c r="ABR1" s="3"/>
      <c r="ABS1" s="3"/>
      <c r="ABT1" s="3"/>
      <c r="ABU1" s="3"/>
      <c r="ABV1" s="3"/>
      <c r="ABW1" s="3"/>
      <c r="ABX1" s="3"/>
      <c r="ABY1" s="3"/>
      <c r="ABZ1" s="3"/>
      <c r="ACA1" s="3"/>
      <c r="ACB1" s="3"/>
      <c r="ACC1" s="3"/>
      <c r="ACD1" s="3"/>
      <c r="ACE1" s="3"/>
      <c r="ACF1" s="3"/>
      <c r="ACG1" s="3"/>
      <c r="ACH1" s="3"/>
      <c r="ACI1" s="3"/>
      <c r="ACJ1" s="3"/>
      <c r="ACK1" s="3"/>
      <c r="ACL1" s="3"/>
      <c r="ACM1" s="3"/>
      <c r="ACN1" s="3"/>
      <c r="ACO1" s="3"/>
      <c r="ACP1" s="3"/>
      <c r="ACQ1" s="3"/>
      <c r="ACR1" s="3"/>
      <c r="ACS1" s="3"/>
      <c r="ACT1" s="3"/>
      <c r="ACU1" s="3"/>
      <c r="ACV1" s="3"/>
      <c r="ACW1" s="3"/>
      <c r="ACX1" s="3"/>
      <c r="ACY1" s="3"/>
      <c r="ACZ1" s="3"/>
      <c r="ADA1" s="3"/>
      <c r="ADB1" s="3"/>
      <c r="ADC1" s="3"/>
      <c r="ADD1" s="3"/>
      <c r="ADE1" s="3"/>
      <c r="ADF1" s="3"/>
      <c r="ADG1" s="3"/>
      <c r="ADH1" s="3"/>
      <c r="ADI1" s="3"/>
      <c r="ADJ1" s="3"/>
      <c r="ADK1" s="3"/>
      <c r="ADL1" s="3"/>
      <c r="ADM1" s="3"/>
      <c r="ADN1" s="3"/>
      <c r="ADO1" s="3"/>
      <c r="ADP1" s="3"/>
      <c r="ADQ1" s="3"/>
      <c r="ADR1" s="3"/>
      <c r="ADS1" s="3"/>
      <c r="ADT1" s="3"/>
      <c r="ADU1" s="3"/>
      <c r="ADV1" s="3"/>
      <c r="ADW1" s="3"/>
      <c r="ADX1" s="3"/>
      <c r="ADY1" s="3"/>
      <c r="ADZ1" s="3"/>
      <c r="AEA1" s="3"/>
      <c r="AEB1" s="3"/>
      <c r="AEC1" s="3"/>
      <c r="AED1" s="3"/>
      <c r="AEE1" s="3"/>
      <c r="AEF1" s="3"/>
      <c r="AEG1" s="3"/>
      <c r="AEH1" s="3"/>
      <c r="AEI1" s="3"/>
      <c r="AEJ1" s="3"/>
      <c r="AEK1" s="3"/>
      <c r="AEL1" s="3"/>
      <c r="AEM1" s="3"/>
      <c r="AEN1" s="3"/>
      <c r="AEO1" s="3"/>
      <c r="AEP1" s="3"/>
      <c r="AEQ1" s="3"/>
      <c r="AER1" s="3"/>
      <c r="AES1" s="3"/>
      <c r="AET1" s="3"/>
      <c r="AEU1" s="3"/>
      <c r="AEV1" s="3"/>
      <c r="AEW1" s="3"/>
      <c r="AEX1" s="3"/>
      <c r="AEY1" s="3"/>
      <c r="AEZ1" s="3"/>
      <c r="AFA1" s="3"/>
      <c r="AFB1" s="3"/>
      <c r="AFC1" s="3"/>
      <c r="AFD1" s="3"/>
      <c r="AFE1" s="3"/>
      <c r="AFF1" s="3"/>
      <c r="AFG1" s="3"/>
      <c r="AFH1" s="3"/>
      <c r="AFI1" s="3"/>
      <c r="AFJ1" s="3"/>
      <c r="AFK1" s="3"/>
      <c r="AFL1" s="3"/>
      <c r="AFM1" s="3"/>
      <c r="AFN1" s="3"/>
      <c r="AFO1" s="3"/>
      <c r="AFP1" s="3"/>
      <c r="AFQ1" s="3"/>
      <c r="AFR1" s="3"/>
      <c r="AFS1" s="3"/>
      <c r="AFT1" s="3"/>
      <c r="AFU1" s="3"/>
      <c r="AFV1" s="3"/>
      <c r="AFW1" s="3"/>
      <c r="AFX1" s="3"/>
      <c r="AFY1" s="3"/>
      <c r="AFZ1" s="3"/>
      <c r="AGA1" s="3"/>
      <c r="AGB1" s="3"/>
      <c r="AGC1" s="3"/>
      <c r="AGD1" s="3"/>
      <c r="AGE1" s="3"/>
      <c r="AGF1" s="3"/>
      <c r="AGG1" s="3"/>
      <c r="AGH1" s="3"/>
      <c r="AGI1" s="3"/>
      <c r="AGJ1" s="3"/>
      <c r="AGK1" s="3"/>
      <c r="AGL1" s="3"/>
      <c r="AGM1" s="3"/>
      <c r="AGN1" s="3"/>
      <c r="AGO1" s="3"/>
      <c r="AGP1" s="3"/>
      <c r="AGQ1" s="3"/>
      <c r="AGR1" s="3"/>
      <c r="AGS1" s="3"/>
      <c r="AGT1" s="3"/>
      <c r="AGU1" s="3"/>
      <c r="AGV1" s="3"/>
      <c r="AGW1" s="3"/>
      <c r="AGX1" s="3"/>
      <c r="AGY1" s="3"/>
      <c r="AGZ1" s="3"/>
      <c r="AHA1" s="3"/>
      <c r="AHB1" s="3"/>
      <c r="AHC1" s="3"/>
      <c r="AHD1" s="3"/>
      <c r="AHE1" s="3"/>
      <c r="AHF1" s="3"/>
      <c r="AHG1" s="3"/>
      <c r="AHH1" s="3"/>
      <c r="AHI1" s="3"/>
      <c r="AHJ1" s="3"/>
      <c r="AHK1" s="3"/>
      <c r="AHL1" s="3"/>
      <c r="AHM1" s="3"/>
      <c r="AHN1" s="3"/>
      <c r="AHO1" s="3"/>
      <c r="AHP1" s="3"/>
      <c r="AHQ1" s="3"/>
      <c r="AHR1" s="3"/>
      <c r="AHS1" s="3"/>
      <c r="AHT1" s="3"/>
      <c r="AHU1" s="3"/>
      <c r="AHV1" s="3"/>
      <c r="AHW1" s="3"/>
      <c r="AHX1" s="3"/>
      <c r="AHY1" s="3"/>
      <c r="AHZ1" s="3"/>
      <c r="AIA1" s="3"/>
      <c r="AIB1" s="3"/>
      <c r="AIC1" s="3"/>
      <c r="AID1" s="3"/>
      <c r="AIE1" s="3"/>
      <c r="AIF1" s="3"/>
      <c r="AIG1" s="3"/>
      <c r="AIH1" s="3"/>
      <c r="AII1" s="3"/>
      <c r="AIJ1" s="3"/>
      <c r="AIK1" s="3"/>
      <c r="AIL1" s="3"/>
      <c r="AIM1" s="3"/>
      <c r="AIN1" s="3"/>
      <c r="AIO1" s="3"/>
      <c r="AIP1" s="3"/>
      <c r="AIQ1" s="3"/>
      <c r="AIR1" s="3"/>
      <c r="AIS1" s="3"/>
      <c r="AIT1" s="3"/>
      <c r="AIU1" s="3"/>
      <c r="AIV1" s="3"/>
      <c r="AIW1" s="3"/>
      <c r="AIX1" s="3"/>
      <c r="AIY1" s="3"/>
      <c r="AIZ1" s="3"/>
      <c r="AJA1" s="3"/>
      <c r="AJB1" s="3"/>
      <c r="AJC1" s="3"/>
      <c r="AJD1" s="3"/>
      <c r="AJE1" s="3"/>
      <c r="AJF1" s="3"/>
      <c r="AJG1" s="3"/>
      <c r="AJH1" s="3"/>
      <c r="AJI1" s="3"/>
      <c r="AJJ1" s="3"/>
      <c r="AJK1" s="3"/>
      <c r="AJL1" s="3"/>
      <c r="AJM1" s="3"/>
      <c r="AJN1" s="3"/>
      <c r="AJO1" s="3"/>
      <c r="AJP1" s="3"/>
      <c r="AJQ1" s="3"/>
      <c r="AJR1" s="3"/>
      <c r="AJS1" s="3"/>
      <c r="AJT1" s="3"/>
      <c r="AJU1" s="3"/>
      <c r="AJV1" s="3"/>
      <c r="AJW1" s="3"/>
      <c r="AJX1" s="3"/>
      <c r="AJY1" s="3"/>
      <c r="AJZ1" s="3"/>
      <c r="AKA1" s="3"/>
      <c r="AKB1" s="3"/>
      <c r="AKC1" s="3"/>
      <c r="AKD1" s="3"/>
      <c r="AKE1" s="3"/>
      <c r="AKF1" s="3"/>
      <c r="AKG1" s="3"/>
      <c r="AKH1" s="3"/>
      <c r="AKI1" s="3"/>
      <c r="AKJ1" s="3"/>
      <c r="AKK1" s="3"/>
      <c r="AKL1" s="3"/>
      <c r="AKM1" s="3"/>
      <c r="AKN1" s="3"/>
      <c r="AKO1" s="3"/>
      <c r="AKP1" s="3"/>
      <c r="AKQ1" s="3"/>
      <c r="AKR1" s="3"/>
      <c r="AKS1" s="3"/>
      <c r="AKT1" s="3"/>
      <c r="AKU1" s="3"/>
      <c r="AKV1" s="3"/>
      <c r="AKW1" s="3"/>
      <c r="AKX1" s="3"/>
      <c r="AKY1" s="3"/>
      <c r="AKZ1" s="3"/>
      <c r="ALA1" s="3"/>
      <c r="ALB1" s="3"/>
      <c r="ALC1" s="3"/>
      <c r="ALD1" s="3"/>
      <c r="ALE1" s="3"/>
      <c r="ALF1" s="3"/>
      <c r="ALG1" s="3"/>
      <c r="ALH1" s="3"/>
      <c r="ALI1" s="3"/>
      <c r="ALJ1" s="3"/>
      <c r="ALK1" s="3"/>
      <c r="ALL1" s="3"/>
      <c r="ALM1" s="3"/>
      <c r="ALN1" s="3"/>
      <c r="ALO1" s="3"/>
      <c r="ALP1" s="3"/>
      <c r="ALQ1" s="3"/>
      <c r="ALR1" s="3"/>
      <c r="ALS1" s="3"/>
      <c r="ALT1" s="3"/>
      <c r="ALU1" s="3"/>
      <c r="ALV1" s="3"/>
      <c r="ALW1" s="3"/>
      <c r="ALX1" s="3"/>
      <c r="ALY1" s="3"/>
      <c r="ALZ1" s="3"/>
      <c r="AMA1" s="3"/>
      <c r="AMB1" s="3"/>
      <c r="AMC1" s="3"/>
      <c r="AMD1" s="3"/>
      <c r="AME1" s="3"/>
      <c r="AMF1" s="3"/>
      <c r="AMG1" s="3"/>
      <c r="AMH1" s="3"/>
      <c r="AMI1" s="1"/>
      <c r="AMJ1" s="1"/>
    </row>
    <row r="2" customFormat="false" ht="12.8" hidden="false" customHeight="false" outlineLevel="0" collapsed="false">
      <c r="A2" s="1" t="s">
        <v>28</v>
      </c>
      <c r="B2" s="8" t="n">
        <v>2500</v>
      </c>
      <c r="C2" s="9" t="n">
        <f aca="false">B2</f>
        <v>2500</v>
      </c>
      <c r="D2" s="10"/>
      <c r="F2" s="1" t="s">
        <v>29</v>
      </c>
      <c r="G2" s="11" t="n">
        <v>0.24</v>
      </c>
    </row>
    <row r="3" customFormat="false" ht="12.8" hidden="false" customHeight="false" outlineLevel="0" collapsed="false">
      <c r="A3" s="1" t="s">
        <v>66</v>
      </c>
      <c r="B3" s="12" t="n">
        <v>92</v>
      </c>
      <c r="E3" s="1" t="s">
        <v>67</v>
      </c>
      <c r="F3" s="1" t="s">
        <v>32</v>
      </c>
      <c r="G3" s="10" t="n">
        <f aca="false">$B$2*G2</f>
        <v>600</v>
      </c>
    </row>
    <row r="4" customFormat="false" ht="12.8" hidden="false" customHeight="false" outlineLevel="0" collapsed="false">
      <c r="A4" s="1" t="s">
        <v>36</v>
      </c>
      <c r="B4" s="9" t="n">
        <f aca="false">ROUND($G$3*B3/Intro!$N$1,2)</f>
        <v>151.23</v>
      </c>
      <c r="C4" s="9" t="n">
        <f aca="false">ROUND(C2-B4,2)</f>
        <v>2348.77</v>
      </c>
      <c r="D4" s="10"/>
      <c r="E4" s="1" t="s">
        <v>34</v>
      </c>
      <c r="F4" s="1" t="s">
        <v>35</v>
      </c>
      <c r="G4" s="13" t="n">
        <v>1</v>
      </c>
    </row>
    <row r="5" customFormat="false" ht="12.8" hidden="false" customHeight="false" outlineLevel="0" collapsed="false">
      <c r="A5" s="1" t="s">
        <v>68</v>
      </c>
      <c r="B5" s="9" t="n">
        <f aca="false">$G$3</f>
        <v>600</v>
      </c>
      <c r="C5" s="9" t="n">
        <f aca="false">ROUND(C4-B5,2)</f>
        <v>1748.77</v>
      </c>
      <c r="D5" s="10"/>
      <c r="E5" s="1" t="s">
        <v>37</v>
      </c>
    </row>
    <row r="6" customFormat="false" ht="12.8" hidden="false" customHeight="false" outlineLevel="0" collapsed="false">
      <c r="A6" s="1" t="s">
        <v>69</v>
      </c>
      <c r="B6" s="12" t="n">
        <v>31</v>
      </c>
      <c r="E6" s="1" t="s">
        <v>39</v>
      </c>
    </row>
    <row r="7" customFormat="false" ht="12.8" hidden="false" customHeight="false" outlineLevel="0" collapsed="false">
      <c r="A7" s="1" t="s">
        <v>40</v>
      </c>
      <c r="B7" s="9" t="n">
        <f aca="false">$G$3*B6/Intro!$N$2</f>
        <v>50.958904109589</v>
      </c>
      <c r="C7" s="9" t="n">
        <f aca="false">C5-B7</f>
        <v>1697.81109589041</v>
      </c>
      <c r="E7" s="1" t="s">
        <v>41</v>
      </c>
    </row>
    <row r="8" customFormat="false" ht="12.8" hidden="false" customHeight="false" outlineLevel="0" collapsed="false">
      <c r="A8" s="1" t="s">
        <v>42</v>
      </c>
      <c r="B8" s="9" t="n">
        <f aca="false">C7*$G$4</f>
        <v>1697.81109589041</v>
      </c>
      <c r="C8" s="9" t="n">
        <f aca="false">C7-B8</f>
        <v>0</v>
      </c>
      <c r="E8" s="1" t="s">
        <v>26</v>
      </c>
    </row>
    <row r="9" customFormat="false" ht="12.8" hidden="false" customHeight="false" outlineLevel="0" collapsed="false">
      <c r="A9" s="1" t="s">
        <v>43</v>
      </c>
      <c r="B9" s="8" t="n">
        <v>3210</v>
      </c>
      <c r="E9" s="1" t="s">
        <v>44</v>
      </c>
    </row>
    <row r="10" customFormat="false" ht="12.8" hidden="false" customHeight="false" outlineLevel="0" collapsed="false">
      <c r="A10" s="1" t="s">
        <v>45</v>
      </c>
      <c r="B10" s="9" t="n">
        <f aca="false">B9-B8</f>
        <v>1512.18890410959</v>
      </c>
      <c r="E10" s="1" t="s">
        <v>46</v>
      </c>
    </row>
    <row r="12" customFormat="false" ht="12.8" hidden="false" customHeight="false" outlineLevel="0" collapsed="false">
      <c r="D12" s="10"/>
    </row>
    <row r="13" customFormat="false" ht="12.8" hidden="false" customHeight="false" outlineLevel="0" collapsed="false">
      <c r="A13" s="1" t="s">
        <v>47</v>
      </c>
      <c r="B13" s="1" t="s">
        <v>48</v>
      </c>
      <c r="C13" s="1" t="s">
        <v>49</v>
      </c>
      <c r="F13" s="1" t="s">
        <v>48</v>
      </c>
      <c r="G13" s="1" t="s">
        <v>49</v>
      </c>
      <c r="H13" s="1" t="s">
        <v>50</v>
      </c>
      <c r="I13" s="1" t="s">
        <v>51</v>
      </c>
    </row>
    <row r="14" customFormat="false" ht="12.8" hidden="false" customHeight="false" outlineLevel="0" collapsed="false">
      <c r="E14" s="1" t="s">
        <v>52</v>
      </c>
      <c r="G14" s="10" t="n">
        <f aca="false">$B$2</f>
        <v>2500</v>
      </c>
      <c r="H14" s="10" t="n">
        <f aca="false">F14-G14</f>
        <v>-2500</v>
      </c>
    </row>
    <row r="15" customFormat="false" ht="12.8" hidden="false" customHeight="false" outlineLevel="0" collapsed="false">
      <c r="A15" s="1" t="s">
        <v>70</v>
      </c>
      <c r="E15" s="1" t="s">
        <v>54</v>
      </c>
      <c r="F15" s="10" t="n">
        <f aca="false">$B$2</f>
        <v>2500</v>
      </c>
      <c r="H15" s="10" t="n">
        <f aca="false">F15-G15</f>
        <v>2500</v>
      </c>
    </row>
    <row r="16" customFormat="false" ht="12.8" hidden="false" customHeight="false" outlineLevel="0" collapsed="false">
      <c r="A16" s="1" t="s">
        <v>55</v>
      </c>
      <c r="C16" s="10" t="n">
        <f aca="false">B4</f>
        <v>151.23</v>
      </c>
      <c r="E16" s="1" t="s">
        <v>55</v>
      </c>
      <c r="G16" s="10" t="n">
        <f aca="false">C16</f>
        <v>151.23</v>
      </c>
      <c r="H16" s="10" t="n">
        <f aca="false">F16-G16</f>
        <v>-151.23</v>
      </c>
    </row>
    <row r="17" customFormat="false" ht="12.8" hidden="false" customHeight="false" outlineLevel="0" collapsed="false">
      <c r="A17" s="1" t="s">
        <v>56</v>
      </c>
      <c r="B17" s="9" t="n">
        <f aca="false">B4</f>
        <v>151.23</v>
      </c>
      <c r="E17" s="1" t="s">
        <v>57</v>
      </c>
      <c r="F17" s="10" t="n">
        <f aca="false">B17</f>
        <v>151.23</v>
      </c>
      <c r="H17" s="10" t="n">
        <f aca="false">F17-G17</f>
        <v>151.23</v>
      </c>
    </row>
    <row r="18" customFormat="false" ht="12.8" hidden="false" customHeight="false" outlineLevel="0" collapsed="false">
      <c r="A18" s="14" t="s">
        <v>58</v>
      </c>
      <c r="B18" s="15" t="n">
        <f aca="false">SUM(B15:B17)</f>
        <v>151.23</v>
      </c>
      <c r="C18" s="15" t="n">
        <f aca="false">SUM(C15:C17)</f>
        <v>151.23</v>
      </c>
      <c r="E18" s="3" t="s">
        <v>59</v>
      </c>
      <c r="H18" s="6" t="n">
        <f aca="false">H15+H16</f>
        <v>2348.77</v>
      </c>
      <c r="I18" s="16" t="n">
        <f aca="false">C4</f>
        <v>2348.77</v>
      </c>
    </row>
    <row r="19" customFormat="false" ht="12.8" hidden="false" customHeight="false" outlineLevel="0" collapsed="false">
      <c r="G19" s="10"/>
      <c r="H19" s="10"/>
    </row>
    <row r="20" customFormat="false" ht="12.8" hidden="false" customHeight="false" outlineLevel="0" collapsed="false">
      <c r="A20" s="1" t="s">
        <v>71</v>
      </c>
      <c r="E20" s="1" t="s">
        <v>54</v>
      </c>
      <c r="F20" s="10" t="n">
        <f aca="false">$B$2</f>
        <v>2500</v>
      </c>
      <c r="H20" s="10" t="n">
        <f aca="false">F20-G20</f>
        <v>2500</v>
      </c>
    </row>
    <row r="21" customFormat="false" ht="12.8" hidden="false" customHeight="false" outlineLevel="0" collapsed="false">
      <c r="A21" s="1" t="s">
        <v>55</v>
      </c>
      <c r="C21" s="10" t="n">
        <f aca="false">B5</f>
        <v>600</v>
      </c>
      <c r="E21" s="1" t="s">
        <v>55</v>
      </c>
      <c r="G21" s="10" t="n">
        <f aca="false">G16+C21</f>
        <v>751.23</v>
      </c>
      <c r="H21" s="10" t="n">
        <f aca="false">F21-G21</f>
        <v>-751.23</v>
      </c>
    </row>
    <row r="22" customFormat="false" ht="12.8" hidden="false" customHeight="false" outlineLevel="0" collapsed="false">
      <c r="A22" s="1" t="s">
        <v>56</v>
      </c>
      <c r="B22" s="9" t="n">
        <f aca="false">B5</f>
        <v>600</v>
      </c>
      <c r="E22" s="1" t="s">
        <v>57</v>
      </c>
      <c r="F22" s="10" t="n">
        <f aca="false">B22</f>
        <v>600</v>
      </c>
      <c r="H22" s="10" t="n">
        <f aca="false">F22-G22</f>
        <v>600</v>
      </c>
    </row>
    <row r="23" customFormat="false" ht="12.8" hidden="false" customHeight="false" outlineLevel="0" collapsed="false">
      <c r="A23" s="14" t="s">
        <v>58</v>
      </c>
      <c r="B23" s="15" t="n">
        <f aca="false">SUM(B20:B22)</f>
        <v>600</v>
      </c>
      <c r="C23" s="15" t="n">
        <f aca="false">SUM(C20:C22)</f>
        <v>600</v>
      </c>
      <c r="E23" s="3" t="s">
        <v>59</v>
      </c>
      <c r="H23" s="6" t="n">
        <f aca="false">H20+H21</f>
        <v>1748.77</v>
      </c>
      <c r="I23" s="16" t="n">
        <f aca="false">C5</f>
        <v>1748.77</v>
      </c>
    </row>
    <row r="25" customFormat="false" ht="12.8" hidden="false" customHeight="false" outlineLevel="0" collapsed="false">
      <c r="A25" s="1" t="s">
        <v>72</v>
      </c>
      <c r="E25" s="1" t="s">
        <v>54</v>
      </c>
      <c r="F25" s="10" t="n">
        <f aca="false">$B$2</f>
        <v>2500</v>
      </c>
      <c r="H25" s="10" t="n">
        <f aca="false">F25-G25</f>
        <v>2500</v>
      </c>
    </row>
    <row r="26" customFormat="false" ht="12.8" hidden="false" customHeight="false" outlineLevel="0" collapsed="false">
      <c r="A26" s="1" t="s">
        <v>55</v>
      </c>
      <c r="C26" s="10" t="n">
        <f aca="false">B7</f>
        <v>50.958904109589</v>
      </c>
      <c r="E26" s="1" t="s">
        <v>55</v>
      </c>
      <c r="G26" s="10" t="n">
        <f aca="false">G21+C26</f>
        <v>802.188904109589</v>
      </c>
      <c r="H26" s="10" t="n">
        <f aca="false">F26-G26</f>
        <v>-802.188904109589</v>
      </c>
    </row>
    <row r="27" customFormat="false" ht="12.8" hidden="false" customHeight="false" outlineLevel="0" collapsed="false">
      <c r="A27" s="1" t="s">
        <v>56</v>
      </c>
      <c r="B27" s="9" t="n">
        <f aca="false">B7</f>
        <v>50.958904109589</v>
      </c>
      <c r="E27" s="1" t="s">
        <v>57</v>
      </c>
      <c r="F27" s="10" t="n">
        <f aca="false">B27</f>
        <v>50.958904109589</v>
      </c>
      <c r="H27" s="10" t="n">
        <f aca="false">F27-G27</f>
        <v>50.958904109589</v>
      </c>
    </row>
    <row r="28" customFormat="false" ht="12.8" hidden="false" customHeight="false" outlineLevel="0" collapsed="false">
      <c r="A28" s="14" t="s">
        <v>58</v>
      </c>
      <c r="B28" s="15" t="n">
        <f aca="false">SUM(B25:B27)</f>
        <v>50.958904109589</v>
      </c>
      <c r="C28" s="15" t="n">
        <f aca="false">SUM(C25:C27)</f>
        <v>50.958904109589</v>
      </c>
      <c r="E28" s="3" t="s">
        <v>59</v>
      </c>
      <c r="H28" s="6" t="n">
        <f aca="false">H25+H26</f>
        <v>1697.81109589041</v>
      </c>
      <c r="I28" s="16" t="n">
        <f aca="false">C7</f>
        <v>1697.81109589041</v>
      </c>
    </row>
    <row r="29" customFormat="false" ht="12.8" hidden="false" customHeight="false" outlineLevel="0" collapsed="false">
      <c r="A29" s="14"/>
      <c r="B29" s="15"/>
      <c r="C29" s="15"/>
    </row>
    <row r="30" customFormat="false" ht="12.8" hidden="false" customHeight="false" outlineLevel="0" collapsed="false">
      <c r="A30" s="1" t="s">
        <v>62</v>
      </c>
      <c r="E30" s="1" t="s">
        <v>54</v>
      </c>
      <c r="F30" s="10" t="n">
        <f aca="false">$B$2</f>
        <v>2500</v>
      </c>
      <c r="G30" s="10" t="n">
        <f aca="false">C32</f>
        <v>3210</v>
      </c>
      <c r="H30" s="10" t="n">
        <f aca="false">F30-G30</f>
        <v>-710</v>
      </c>
    </row>
    <row r="31" customFormat="false" ht="12.8" hidden="false" customHeight="false" outlineLevel="0" collapsed="false">
      <c r="A31" s="1" t="s">
        <v>63</v>
      </c>
      <c r="B31" s="10" t="n">
        <f aca="false">B9</f>
        <v>3210</v>
      </c>
      <c r="C31" s="10"/>
      <c r="E31" s="1" t="s">
        <v>55</v>
      </c>
      <c r="G31" s="10" t="n">
        <f aca="false">G26</f>
        <v>802.188904109589</v>
      </c>
      <c r="H31" s="10" t="n">
        <f aca="false">F31-G31</f>
        <v>-802.188904109589</v>
      </c>
    </row>
    <row r="32" customFormat="false" ht="12.8" hidden="false" customHeight="false" outlineLevel="0" collapsed="false">
      <c r="A32" s="1" t="s">
        <v>54</v>
      </c>
      <c r="B32" s="10"/>
      <c r="C32" s="10" t="n">
        <f aca="false">B9</f>
        <v>3210</v>
      </c>
      <c r="E32" s="1" t="s">
        <v>57</v>
      </c>
      <c r="F32" s="10" t="n">
        <f aca="false">B32</f>
        <v>0</v>
      </c>
      <c r="H32" s="10" t="n">
        <f aca="false">F32-G32</f>
        <v>0</v>
      </c>
    </row>
    <row r="33" customFormat="false" ht="12.8" hidden="false" customHeight="false" outlineLevel="0" collapsed="false">
      <c r="A33" s="14" t="s">
        <v>58</v>
      </c>
      <c r="B33" s="15" t="n">
        <f aca="false">SUM(B30:B32)</f>
        <v>3210</v>
      </c>
      <c r="C33" s="15" t="n">
        <f aca="false">SUM(C30:C32)</f>
        <v>3210</v>
      </c>
      <c r="E33" s="17" t="s">
        <v>59</v>
      </c>
      <c r="F33" s="18"/>
      <c r="G33" s="18"/>
      <c r="H33" s="19" t="n">
        <f aca="false">H30+H31</f>
        <v>-1512.18890410959</v>
      </c>
    </row>
    <row r="35" customFormat="false" ht="12.8" hidden="false" customHeight="false" outlineLevel="0" collapsed="false">
      <c r="A35" s="1" t="s">
        <v>42</v>
      </c>
      <c r="E35" s="1" t="s">
        <v>54</v>
      </c>
      <c r="F35" s="10" t="n">
        <f aca="false">F30+B36</f>
        <v>3210</v>
      </c>
      <c r="G35" s="10" t="n">
        <f aca="false">G30+C39</f>
        <v>3210</v>
      </c>
      <c r="H35" s="10" t="n">
        <f aca="false">F35-G35</f>
        <v>0</v>
      </c>
    </row>
    <row r="36" customFormat="false" ht="12.8" hidden="false" customHeight="false" outlineLevel="0" collapsed="false">
      <c r="A36" s="1" t="s">
        <v>54</v>
      </c>
      <c r="B36" s="10" t="n">
        <f aca="false">B10-G26</f>
        <v>710</v>
      </c>
      <c r="C36" s="10"/>
      <c r="E36" s="1" t="s">
        <v>55</v>
      </c>
      <c r="F36" s="10" t="n">
        <f aca="false">F26+B38</f>
        <v>802.188904109589</v>
      </c>
      <c r="G36" s="10" t="n">
        <f aca="false">G26</f>
        <v>802.188904109589</v>
      </c>
      <c r="H36" s="10" t="n">
        <f aca="false">F36-G36</f>
        <v>0</v>
      </c>
    </row>
    <row r="37" customFormat="false" ht="12.8" hidden="false" customHeight="false" outlineLevel="0" collapsed="false">
      <c r="A37" s="1" t="s">
        <v>45</v>
      </c>
      <c r="B37" s="10"/>
      <c r="C37" s="9" t="n">
        <f aca="false">B10</f>
        <v>1512.18890410959</v>
      </c>
      <c r="E37" s="1" t="s">
        <v>57</v>
      </c>
      <c r="F37" s="10" t="n">
        <f aca="false">B37</f>
        <v>0</v>
      </c>
      <c r="H37" s="10" t="n">
        <f aca="false">F37-G37</f>
        <v>0</v>
      </c>
    </row>
    <row r="38" customFormat="false" ht="12.8" hidden="false" customHeight="false" outlineLevel="0" collapsed="false">
      <c r="A38" s="1" t="s">
        <v>55</v>
      </c>
      <c r="B38" s="10" t="n">
        <f aca="false">G26</f>
        <v>802.188904109589</v>
      </c>
      <c r="C38" s="10"/>
      <c r="E38" s="1" t="s">
        <v>45</v>
      </c>
      <c r="F38" s="10"/>
      <c r="G38" s="10" t="n">
        <f aca="false">C37</f>
        <v>1512.18890410959</v>
      </c>
      <c r="H38" s="10" t="n">
        <f aca="false">F38-G38</f>
        <v>-1512.18890410959</v>
      </c>
    </row>
    <row r="39" customFormat="false" ht="12.8" hidden="false" customHeight="false" outlineLevel="0" collapsed="false">
      <c r="A39" s="1" t="s">
        <v>54</v>
      </c>
      <c r="B39" s="10"/>
      <c r="C39" s="10" t="n">
        <v>0</v>
      </c>
      <c r="E39" s="3" t="s">
        <v>59</v>
      </c>
      <c r="H39" s="6" t="n">
        <f aca="false">H35+H36</f>
        <v>0</v>
      </c>
      <c r="I39" s="16" t="n">
        <f aca="false">C8</f>
        <v>0</v>
      </c>
    </row>
    <row r="40" customFormat="false" ht="12.8" hidden="false" customHeight="false" outlineLevel="0" collapsed="false">
      <c r="A40" s="14" t="s">
        <v>58</v>
      </c>
      <c r="B40" s="15" t="n">
        <f aca="false">SUM(B35:B39)</f>
        <v>1512.18890410959</v>
      </c>
      <c r="C40" s="15" t="n">
        <f aca="false">SUM(C35:C39)</f>
        <v>1512.18890410959</v>
      </c>
      <c r="H40" s="10"/>
    </row>
    <row r="43" customFormat="false" ht="12.8" hidden="false" customHeight="false" outlineLevel="0" collapsed="false">
      <c r="A43" s="20" t="s">
        <v>64</v>
      </c>
      <c r="B43" s="20"/>
      <c r="C43" s="20"/>
      <c r="D43" s="20"/>
      <c r="E43" s="20"/>
      <c r="F43" s="20"/>
      <c r="G43" s="20"/>
      <c r="H43" s="20"/>
    </row>
    <row r="44" customFormat="false" ht="12.8" hidden="false" customHeight="false" outlineLevel="0" collapsed="false">
      <c r="A44" s="20" t="s">
        <v>54</v>
      </c>
      <c r="B44" s="21"/>
      <c r="C44" s="21" t="n">
        <f aca="false">C32-B36</f>
        <v>2500</v>
      </c>
      <c r="D44" s="20"/>
      <c r="E44" s="20" t="s">
        <v>54</v>
      </c>
      <c r="F44" s="21" t="n">
        <f aca="false">F25</f>
        <v>2500</v>
      </c>
      <c r="G44" s="21" t="n">
        <f aca="false">G25+C44</f>
        <v>2500</v>
      </c>
      <c r="H44" s="21" t="n">
        <f aca="false">F44-G44</f>
        <v>0</v>
      </c>
    </row>
    <row r="45" customFormat="false" ht="12.8" hidden="false" customHeight="false" outlineLevel="0" collapsed="false">
      <c r="A45" s="20" t="s">
        <v>45</v>
      </c>
      <c r="B45" s="21"/>
      <c r="C45" s="22" t="n">
        <f aca="false">C37</f>
        <v>1512.18890410959</v>
      </c>
      <c r="D45" s="20"/>
      <c r="E45" s="20" t="s">
        <v>55</v>
      </c>
      <c r="F45" s="21" t="n">
        <f aca="false">F26+B46</f>
        <v>802.188904109589</v>
      </c>
      <c r="G45" s="21" t="n">
        <f aca="false">G26</f>
        <v>802.188904109589</v>
      </c>
      <c r="H45" s="21" t="n">
        <f aca="false">F45-G45</f>
        <v>0</v>
      </c>
    </row>
    <row r="46" customFormat="false" ht="12.8" hidden="false" customHeight="false" outlineLevel="0" collapsed="false">
      <c r="A46" s="20" t="s">
        <v>55</v>
      </c>
      <c r="B46" s="21" t="n">
        <f aca="false">B38</f>
        <v>802.188904109589</v>
      </c>
      <c r="C46" s="21"/>
      <c r="D46" s="20"/>
      <c r="E46" s="20" t="s">
        <v>57</v>
      </c>
      <c r="F46" s="21" t="n">
        <v>0</v>
      </c>
      <c r="G46" s="20"/>
      <c r="H46" s="21" t="n">
        <f aca="false">F46-G46</f>
        <v>0</v>
      </c>
    </row>
    <row r="47" customFormat="false" ht="12.8" hidden="false" customHeight="false" outlineLevel="0" collapsed="false">
      <c r="A47" s="20" t="s">
        <v>65</v>
      </c>
      <c r="B47" s="21" t="n">
        <f aca="false">B9</f>
        <v>3210</v>
      </c>
      <c r="C47" s="21"/>
      <c r="D47" s="20"/>
      <c r="E47" s="20"/>
      <c r="F47" s="21"/>
      <c r="G47" s="20"/>
      <c r="H47" s="21"/>
    </row>
    <row r="48" customFormat="false" ht="12.8" hidden="false" customHeight="false" outlineLevel="0" collapsed="false">
      <c r="A48" s="23" t="s">
        <v>58</v>
      </c>
      <c r="B48" s="24" t="n">
        <f aca="false">SUM(B43:B47)</f>
        <v>4012.18890410959</v>
      </c>
      <c r="C48" s="24" t="n">
        <f aca="false">SUM(C43:C47)</f>
        <v>4012.18890410959</v>
      </c>
      <c r="D48" s="20"/>
      <c r="E48" s="20" t="s">
        <v>45</v>
      </c>
      <c r="F48" s="21"/>
      <c r="G48" s="21" t="n">
        <f aca="false">C45</f>
        <v>1512.18890410959</v>
      </c>
      <c r="H48" s="21" t="n">
        <f aca="false">F48-G48</f>
        <v>-1512.18890410959</v>
      </c>
    </row>
    <row r="49" customFormat="false" ht="12.8" hidden="false" customHeight="false" outlineLevel="0" collapsed="false">
      <c r="A49" s="20"/>
      <c r="B49" s="20"/>
      <c r="C49" s="20"/>
      <c r="D49" s="20"/>
      <c r="E49" s="25" t="s">
        <v>59</v>
      </c>
      <c r="F49" s="20"/>
      <c r="G49" s="20"/>
      <c r="H49" s="26" t="n">
        <f aca="false">H44+H45</f>
        <v>0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&amp;CPagina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J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1" activeCellId="0" sqref="B11"/>
    </sheetView>
  </sheetViews>
  <sheetFormatPr defaultColWidth="11.5703125" defaultRowHeight="12.8" zeroHeight="false" outlineLevelRow="0" outlineLevelCol="0"/>
  <cols>
    <col collapsed="false" customWidth="true" hidden="false" outlineLevel="0" max="1" min="1" style="1" width="28.93"/>
    <col collapsed="false" customWidth="true" hidden="false" outlineLevel="0" max="3" min="2" style="1" width="10.39"/>
    <col collapsed="false" customWidth="true" hidden="false" outlineLevel="0" max="4" min="4" style="1" width="11.72"/>
    <col collapsed="false" customWidth="true" hidden="false" outlineLevel="0" max="5" min="5" style="1" width="47.56"/>
    <col collapsed="false" customWidth="true" hidden="false" outlineLevel="0" max="6" min="6" style="1" width="9.26"/>
    <col collapsed="false" customWidth="true" hidden="false" outlineLevel="0" max="7" min="7" style="1" width="9.91"/>
    <col collapsed="false" customWidth="false" hidden="false" outlineLevel="0" max="1021" min="8" style="4" width="11.57"/>
    <col collapsed="false" customWidth="false" hidden="false" outlineLevel="0" max="1023" min="1023" style="4" width="11.57"/>
  </cols>
  <sheetData>
    <row r="1" customFormat="false" ht="12.8" hidden="false" customHeight="false" outlineLevel="0" collapsed="false">
      <c r="A1" s="3" t="s">
        <v>24</v>
      </c>
      <c r="B1" s="6" t="s">
        <v>25</v>
      </c>
      <c r="C1" s="6" t="s">
        <v>26</v>
      </c>
      <c r="D1" s="6" t="s">
        <v>73</v>
      </c>
      <c r="E1" s="3" t="s">
        <v>27</v>
      </c>
      <c r="F1" s="3"/>
      <c r="G1" s="7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3"/>
      <c r="CI1" s="3"/>
      <c r="CJ1" s="3"/>
      <c r="CK1" s="3"/>
      <c r="CL1" s="3"/>
      <c r="CM1" s="3"/>
      <c r="CN1" s="3"/>
      <c r="CO1" s="3"/>
      <c r="CP1" s="3"/>
      <c r="CQ1" s="3"/>
      <c r="CR1" s="3"/>
      <c r="CS1" s="3"/>
      <c r="CT1" s="3"/>
      <c r="CU1" s="3"/>
      <c r="CV1" s="3"/>
      <c r="CW1" s="3"/>
      <c r="CX1" s="3"/>
      <c r="CY1" s="3"/>
      <c r="CZ1" s="3"/>
      <c r="DA1" s="3"/>
      <c r="DB1" s="3"/>
      <c r="DC1" s="3"/>
      <c r="DD1" s="3"/>
      <c r="DE1" s="3"/>
      <c r="DF1" s="3"/>
      <c r="DG1" s="3"/>
      <c r="DH1" s="3"/>
      <c r="DI1" s="3"/>
      <c r="DJ1" s="3"/>
      <c r="DK1" s="3"/>
      <c r="DL1" s="3"/>
      <c r="DM1" s="3"/>
      <c r="DN1" s="3"/>
      <c r="DO1" s="3"/>
      <c r="DP1" s="3"/>
      <c r="DQ1" s="3"/>
      <c r="DR1" s="3"/>
      <c r="DS1" s="3"/>
      <c r="DT1" s="3"/>
      <c r="DU1" s="3"/>
      <c r="DV1" s="3"/>
      <c r="DW1" s="3"/>
      <c r="DX1" s="3"/>
      <c r="DY1" s="3"/>
      <c r="DZ1" s="3"/>
      <c r="EA1" s="3"/>
      <c r="EB1" s="3"/>
      <c r="EC1" s="3"/>
      <c r="ED1" s="3"/>
      <c r="EE1" s="3"/>
      <c r="EF1" s="3"/>
      <c r="EG1" s="3"/>
      <c r="EH1" s="3"/>
      <c r="EI1" s="3"/>
      <c r="EJ1" s="3"/>
      <c r="EK1" s="3"/>
      <c r="EL1" s="3"/>
      <c r="EM1" s="3"/>
      <c r="EN1" s="3"/>
      <c r="EO1" s="3"/>
      <c r="EP1" s="3"/>
      <c r="EQ1" s="3"/>
      <c r="ER1" s="3"/>
      <c r="ES1" s="3"/>
      <c r="ET1" s="3"/>
      <c r="EU1" s="3"/>
      <c r="EV1" s="3"/>
      <c r="EW1" s="3"/>
      <c r="EX1" s="3"/>
      <c r="EY1" s="3"/>
      <c r="EZ1" s="3"/>
      <c r="FA1" s="3"/>
      <c r="FB1" s="3"/>
      <c r="FC1" s="3"/>
      <c r="FD1" s="3"/>
      <c r="FE1" s="3"/>
      <c r="FF1" s="3"/>
      <c r="FG1" s="3"/>
      <c r="FH1" s="3"/>
      <c r="FI1" s="3"/>
      <c r="FJ1" s="3"/>
      <c r="FK1" s="3"/>
      <c r="FL1" s="3"/>
      <c r="FM1" s="3"/>
      <c r="FN1" s="3"/>
      <c r="FO1" s="3"/>
      <c r="FP1" s="3"/>
      <c r="FQ1" s="3"/>
      <c r="FR1" s="3"/>
      <c r="FS1" s="3"/>
      <c r="FT1" s="3"/>
      <c r="FU1" s="3"/>
      <c r="FV1" s="3"/>
      <c r="FW1" s="3"/>
      <c r="FX1" s="3"/>
      <c r="FY1" s="3"/>
      <c r="FZ1" s="3"/>
      <c r="GA1" s="3"/>
      <c r="GB1" s="3"/>
      <c r="GC1" s="3"/>
      <c r="GD1" s="3"/>
      <c r="GE1" s="3"/>
      <c r="GF1" s="3"/>
      <c r="GG1" s="3"/>
      <c r="GH1" s="3"/>
      <c r="GI1" s="3"/>
      <c r="GJ1" s="3"/>
      <c r="GK1" s="3"/>
      <c r="GL1" s="3"/>
      <c r="GM1" s="3"/>
      <c r="GN1" s="3"/>
      <c r="GO1" s="3"/>
      <c r="GP1" s="3"/>
      <c r="GQ1" s="3"/>
      <c r="GR1" s="3"/>
      <c r="GS1" s="3"/>
      <c r="GT1" s="3"/>
      <c r="GU1" s="3"/>
      <c r="GV1" s="3"/>
      <c r="GW1" s="3"/>
      <c r="GX1" s="3"/>
      <c r="GY1" s="3"/>
      <c r="GZ1" s="3"/>
      <c r="HA1" s="3"/>
      <c r="HB1" s="3"/>
      <c r="HC1" s="3"/>
      <c r="HD1" s="3"/>
      <c r="HE1" s="3"/>
      <c r="HF1" s="3"/>
      <c r="HG1" s="3"/>
      <c r="HH1" s="3"/>
      <c r="HI1" s="3"/>
      <c r="HJ1" s="3"/>
      <c r="HK1" s="3"/>
      <c r="HL1" s="3"/>
      <c r="HM1" s="3"/>
      <c r="HN1" s="3"/>
      <c r="HO1" s="3"/>
      <c r="HP1" s="3"/>
      <c r="HQ1" s="3"/>
      <c r="HR1" s="3"/>
      <c r="HS1" s="3"/>
      <c r="HT1" s="3"/>
      <c r="HU1" s="3"/>
      <c r="HV1" s="3"/>
      <c r="HW1" s="3"/>
      <c r="HX1" s="3"/>
      <c r="HY1" s="3"/>
      <c r="HZ1" s="3"/>
      <c r="IA1" s="3"/>
      <c r="IB1" s="3"/>
      <c r="IC1" s="3"/>
      <c r="ID1" s="3"/>
      <c r="IE1" s="3"/>
      <c r="IF1" s="3"/>
      <c r="IG1" s="3"/>
      <c r="IH1" s="3"/>
      <c r="II1" s="3"/>
      <c r="IJ1" s="3"/>
      <c r="IK1" s="3"/>
      <c r="IL1" s="3"/>
      <c r="IM1" s="3"/>
      <c r="IN1" s="3"/>
      <c r="IO1" s="3"/>
      <c r="IP1" s="3"/>
      <c r="IQ1" s="3"/>
      <c r="IR1" s="3"/>
      <c r="IS1" s="3"/>
      <c r="IT1" s="3"/>
      <c r="IU1" s="3"/>
      <c r="IV1" s="3"/>
      <c r="IW1" s="3"/>
      <c r="IX1" s="3"/>
      <c r="IY1" s="3"/>
      <c r="IZ1" s="3"/>
      <c r="JA1" s="3"/>
      <c r="JB1" s="3"/>
      <c r="JC1" s="3"/>
      <c r="JD1" s="3"/>
      <c r="JE1" s="3"/>
      <c r="JF1" s="3"/>
      <c r="JG1" s="3"/>
      <c r="JH1" s="3"/>
      <c r="JI1" s="3"/>
      <c r="JJ1" s="3"/>
      <c r="JK1" s="3"/>
      <c r="JL1" s="3"/>
      <c r="JM1" s="3"/>
      <c r="JN1" s="3"/>
      <c r="JO1" s="3"/>
      <c r="JP1" s="3"/>
      <c r="JQ1" s="3"/>
      <c r="JR1" s="3"/>
      <c r="JS1" s="3"/>
      <c r="JT1" s="3"/>
      <c r="JU1" s="3"/>
      <c r="JV1" s="3"/>
      <c r="JW1" s="3"/>
      <c r="JX1" s="3"/>
      <c r="JY1" s="3"/>
      <c r="JZ1" s="3"/>
      <c r="KA1" s="3"/>
      <c r="KB1" s="3"/>
      <c r="KC1" s="3"/>
      <c r="KD1" s="3"/>
      <c r="KE1" s="3"/>
      <c r="KF1" s="3"/>
      <c r="KG1" s="3"/>
      <c r="KH1" s="3"/>
      <c r="KI1" s="3"/>
      <c r="KJ1" s="3"/>
      <c r="KK1" s="3"/>
      <c r="KL1" s="3"/>
      <c r="KM1" s="3"/>
      <c r="KN1" s="3"/>
      <c r="KO1" s="3"/>
      <c r="KP1" s="3"/>
      <c r="KQ1" s="3"/>
      <c r="KR1" s="3"/>
      <c r="KS1" s="3"/>
      <c r="KT1" s="3"/>
      <c r="KU1" s="3"/>
      <c r="KV1" s="3"/>
      <c r="KW1" s="3"/>
      <c r="KX1" s="3"/>
      <c r="KY1" s="3"/>
      <c r="KZ1" s="3"/>
      <c r="LA1" s="3"/>
      <c r="LB1" s="3"/>
      <c r="LC1" s="3"/>
      <c r="LD1" s="3"/>
      <c r="LE1" s="3"/>
      <c r="LF1" s="3"/>
      <c r="LG1" s="3"/>
      <c r="LH1" s="3"/>
      <c r="LI1" s="3"/>
      <c r="LJ1" s="3"/>
      <c r="LK1" s="3"/>
      <c r="LL1" s="3"/>
      <c r="LM1" s="3"/>
      <c r="LN1" s="3"/>
      <c r="LO1" s="3"/>
      <c r="LP1" s="3"/>
      <c r="LQ1" s="3"/>
      <c r="LR1" s="3"/>
      <c r="LS1" s="3"/>
      <c r="LT1" s="3"/>
      <c r="LU1" s="3"/>
      <c r="LV1" s="3"/>
      <c r="LW1" s="3"/>
      <c r="LX1" s="3"/>
      <c r="LY1" s="3"/>
      <c r="LZ1" s="3"/>
      <c r="MA1" s="3"/>
      <c r="MB1" s="3"/>
      <c r="MC1" s="3"/>
      <c r="MD1" s="3"/>
      <c r="ME1" s="3"/>
      <c r="MF1" s="3"/>
      <c r="MG1" s="3"/>
      <c r="MH1" s="3"/>
      <c r="MI1" s="3"/>
      <c r="MJ1" s="3"/>
      <c r="MK1" s="3"/>
      <c r="ML1" s="3"/>
      <c r="MM1" s="3"/>
      <c r="MN1" s="3"/>
      <c r="MO1" s="3"/>
      <c r="MP1" s="3"/>
      <c r="MQ1" s="3"/>
      <c r="MR1" s="3"/>
      <c r="MS1" s="3"/>
      <c r="MT1" s="3"/>
      <c r="MU1" s="3"/>
      <c r="MV1" s="3"/>
      <c r="MW1" s="3"/>
      <c r="MX1" s="3"/>
      <c r="MY1" s="3"/>
      <c r="MZ1" s="3"/>
      <c r="NA1" s="3"/>
      <c r="NB1" s="3"/>
      <c r="NC1" s="3"/>
      <c r="ND1" s="3"/>
      <c r="NE1" s="3"/>
      <c r="NF1" s="3"/>
      <c r="NG1" s="3"/>
      <c r="NH1" s="3"/>
      <c r="NI1" s="3"/>
      <c r="NJ1" s="3"/>
      <c r="NK1" s="3"/>
      <c r="NL1" s="3"/>
      <c r="NM1" s="3"/>
      <c r="NN1" s="3"/>
      <c r="NO1" s="3"/>
      <c r="NP1" s="3"/>
      <c r="NQ1" s="3"/>
      <c r="NR1" s="3"/>
      <c r="NS1" s="3"/>
      <c r="NT1" s="3"/>
      <c r="NU1" s="3"/>
      <c r="NV1" s="3"/>
      <c r="NW1" s="3"/>
      <c r="NX1" s="3"/>
      <c r="NY1" s="3"/>
      <c r="NZ1" s="3"/>
      <c r="OA1" s="3"/>
      <c r="OB1" s="3"/>
      <c r="OC1" s="3"/>
      <c r="OD1" s="3"/>
      <c r="OE1" s="3"/>
      <c r="OF1" s="3"/>
      <c r="OG1" s="3"/>
      <c r="OH1" s="3"/>
      <c r="OI1" s="3"/>
      <c r="OJ1" s="3"/>
      <c r="OK1" s="3"/>
      <c r="OL1" s="3"/>
      <c r="OM1" s="3"/>
      <c r="ON1" s="3"/>
      <c r="OO1" s="3"/>
      <c r="OP1" s="3"/>
      <c r="OQ1" s="3"/>
      <c r="OR1" s="3"/>
      <c r="OS1" s="3"/>
      <c r="OT1" s="3"/>
      <c r="OU1" s="3"/>
      <c r="OV1" s="3"/>
      <c r="OW1" s="3"/>
      <c r="OX1" s="3"/>
      <c r="OY1" s="3"/>
      <c r="OZ1" s="3"/>
      <c r="PA1" s="3"/>
      <c r="PB1" s="3"/>
      <c r="PC1" s="3"/>
      <c r="PD1" s="3"/>
      <c r="PE1" s="3"/>
      <c r="PF1" s="3"/>
      <c r="PG1" s="3"/>
      <c r="PH1" s="3"/>
      <c r="PI1" s="3"/>
      <c r="PJ1" s="3"/>
      <c r="PK1" s="3"/>
      <c r="PL1" s="3"/>
      <c r="PM1" s="3"/>
      <c r="PN1" s="3"/>
      <c r="PO1" s="3"/>
      <c r="PP1" s="3"/>
      <c r="PQ1" s="3"/>
      <c r="PR1" s="3"/>
      <c r="PS1" s="3"/>
      <c r="PT1" s="3"/>
      <c r="PU1" s="3"/>
      <c r="PV1" s="3"/>
      <c r="PW1" s="3"/>
      <c r="PX1" s="3"/>
      <c r="PY1" s="3"/>
      <c r="PZ1" s="3"/>
      <c r="QA1" s="3"/>
      <c r="QB1" s="3"/>
      <c r="QC1" s="3"/>
      <c r="QD1" s="3"/>
      <c r="QE1" s="3"/>
      <c r="QF1" s="3"/>
      <c r="QG1" s="3"/>
      <c r="QH1" s="3"/>
      <c r="QI1" s="3"/>
      <c r="QJ1" s="3"/>
      <c r="QK1" s="3"/>
      <c r="QL1" s="3"/>
      <c r="QM1" s="3"/>
      <c r="QN1" s="3"/>
      <c r="QO1" s="3"/>
      <c r="QP1" s="3"/>
      <c r="QQ1" s="3"/>
      <c r="QR1" s="3"/>
      <c r="QS1" s="3"/>
      <c r="QT1" s="3"/>
      <c r="QU1" s="3"/>
      <c r="QV1" s="3"/>
      <c r="QW1" s="3"/>
      <c r="QX1" s="3"/>
      <c r="QY1" s="3"/>
      <c r="QZ1" s="3"/>
      <c r="RA1" s="3"/>
      <c r="RB1" s="3"/>
      <c r="RC1" s="3"/>
      <c r="RD1" s="3"/>
      <c r="RE1" s="3"/>
      <c r="RF1" s="3"/>
      <c r="RG1" s="3"/>
      <c r="RH1" s="3"/>
      <c r="RI1" s="3"/>
      <c r="RJ1" s="3"/>
      <c r="RK1" s="3"/>
      <c r="RL1" s="3"/>
      <c r="RM1" s="3"/>
      <c r="RN1" s="3"/>
      <c r="RO1" s="3"/>
      <c r="RP1" s="3"/>
      <c r="RQ1" s="3"/>
      <c r="RR1" s="3"/>
      <c r="RS1" s="3"/>
      <c r="RT1" s="3"/>
      <c r="RU1" s="3"/>
      <c r="RV1" s="3"/>
      <c r="RW1" s="3"/>
      <c r="RX1" s="3"/>
      <c r="RY1" s="3"/>
      <c r="RZ1" s="3"/>
      <c r="SA1" s="3"/>
      <c r="SB1" s="3"/>
      <c r="SC1" s="3"/>
      <c r="SD1" s="3"/>
      <c r="SE1" s="3"/>
      <c r="SF1" s="3"/>
      <c r="SG1" s="3"/>
      <c r="SH1" s="3"/>
      <c r="SI1" s="3"/>
      <c r="SJ1" s="3"/>
      <c r="SK1" s="3"/>
      <c r="SL1" s="3"/>
      <c r="SM1" s="3"/>
      <c r="SN1" s="3"/>
      <c r="SO1" s="3"/>
      <c r="SP1" s="3"/>
      <c r="SQ1" s="3"/>
      <c r="SR1" s="3"/>
      <c r="SS1" s="3"/>
      <c r="ST1" s="3"/>
      <c r="SU1" s="3"/>
      <c r="SV1" s="3"/>
      <c r="SW1" s="3"/>
      <c r="SX1" s="3"/>
      <c r="SY1" s="3"/>
      <c r="SZ1" s="3"/>
      <c r="TA1" s="3"/>
      <c r="TB1" s="3"/>
      <c r="TC1" s="3"/>
      <c r="TD1" s="3"/>
      <c r="TE1" s="3"/>
      <c r="TF1" s="3"/>
      <c r="TG1" s="3"/>
      <c r="TH1" s="3"/>
      <c r="TI1" s="3"/>
      <c r="TJ1" s="3"/>
      <c r="TK1" s="3"/>
      <c r="TL1" s="3"/>
      <c r="TM1" s="3"/>
      <c r="TN1" s="3"/>
      <c r="TO1" s="3"/>
      <c r="TP1" s="3"/>
      <c r="TQ1" s="3"/>
      <c r="TR1" s="3"/>
      <c r="TS1" s="3"/>
      <c r="TT1" s="3"/>
      <c r="TU1" s="3"/>
      <c r="TV1" s="3"/>
      <c r="TW1" s="3"/>
      <c r="TX1" s="3"/>
      <c r="TY1" s="3"/>
      <c r="TZ1" s="3"/>
      <c r="UA1" s="3"/>
      <c r="UB1" s="3"/>
      <c r="UC1" s="3"/>
      <c r="UD1" s="3"/>
      <c r="UE1" s="3"/>
      <c r="UF1" s="3"/>
      <c r="UG1" s="3"/>
      <c r="UH1" s="3"/>
      <c r="UI1" s="3"/>
      <c r="UJ1" s="3"/>
      <c r="UK1" s="3"/>
      <c r="UL1" s="3"/>
      <c r="UM1" s="3"/>
      <c r="UN1" s="3"/>
      <c r="UO1" s="3"/>
      <c r="UP1" s="3"/>
      <c r="UQ1" s="3"/>
      <c r="UR1" s="3"/>
      <c r="US1" s="3"/>
      <c r="UT1" s="3"/>
      <c r="UU1" s="3"/>
      <c r="UV1" s="3"/>
      <c r="UW1" s="3"/>
      <c r="UX1" s="3"/>
      <c r="UY1" s="3"/>
      <c r="UZ1" s="3"/>
      <c r="VA1" s="3"/>
      <c r="VB1" s="3"/>
      <c r="VC1" s="3"/>
      <c r="VD1" s="3"/>
      <c r="VE1" s="3"/>
      <c r="VF1" s="3"/>
      <c r="VG1" s="3"/>
      <c r="VH1" s="3"/>
      <c r="VI1" s="3"/>
      <c r="VJ1" s="3"/>
      <c r="VK1" s="3"/>
      <c r="VL1" s="3"/>
      <c r="VM1" s="3"/>
      <c r="VN1" s="3"/>
      <c r="VO1" s="3"/>
      <c r="VP1" s="3"/>
      <c r="VQ1" s="3"/>
      <c r="VR1" s="3"/>
      <c r="VS1" s="3"/>
      <c r="VT1" s="3"/>
      <c r="VU1" s="3"/>
      <c r="VV1" s="3"/>
      <c r="VW1" s="3"/>
      <c r="VX1" s="3"/>
      <c r="VY1" s="3"/>
      <c r="VZ1" s="3"/>
      <c r="WA1" s="3"/>
      <c r="WB1" s="3"/>
      <c r="WC1" s="3"/>
      <c r="WD1" s="3"/>
      <c r="WE1" s="3"/>
      <c r="WF1" s="3"/>
      <c r="WG1" s="3"/>
      <c r="WH1" s="3"/>
      <c r="WI1" s="3"/>
      <c r="WJ1" s="3"/>
      <c r="WK1" s="3"/>
      <c r="WL1" s="3"/>
      <c r="WM1" s="3"/>
      <c r="WN1" s="3"/>
      <c r="WO1" s="3"/>
      <c r="WP1" s="3"/>
      <c r="WQ1" s="3"/>
      <c r="WR1" s="3"/>
      <c r="WS1" s="3"/>
      <c r="WT1" s="3"/>
      <c r="WU1" s="3"/>
      <c r="WV1" s="3"/>
      <c r="WW1" s="3"/>
      <c r="WX1" s="3"/>
      <c r="WY1" s="3"/>
      <c r="WZ1" s="3"/>
      <c r="XA1" s="3"/>
      <c r="XB1" s="3"/>
      <c r="XC1" s="3"/>
      <c r="XD1" s="3"/>
      <c r="XE1" s="3"/>
      <c r="XF1" s="3"/>
      <c r="XG1" s="3"/>
      <c r="XH1" s="3"/>
      <c r="XI1" s="3"/>
      <c r="XJ1" s="3"/>
      <c r="XK1" s="3"/>
      <c r="XL1" s="3"/>
      <c r="XM1" s="3"/>
      <c r="XN1" s="3"/>
      <c r="XO1" s="3"/>
      <c r="XP1" s="3"/>
      <c r="XQ1" s="3"/>
      <c r="XR1" s="3"/>
      <c r="XS1" s="3"/>
      <c r="XT1" s="3"/>
      <c r="XU1" s="3"/>
      <c r="XV1" s="3"/>
      <c r="XW1" s="3"/>
      <c r="XX1" s="3"/>
      <c r="XY1" s="3"/>
      <c r="XZ1" s="3"/>
      <c r="YA1" s="3"/>
      <c r="YB1" s="3"/>
      <c r="YC1" s="3"/>
      <c r="YD1" s="3"/>
      <c r="YE1" s="3"/>
      <c r="YF1" s="3"/>
      <c r="YG1" s="3"/>
      <c r="YH1" s="3"/>
      <c r="YI1" s="3"/>
      <c r="YJ1" s="3"/>
      <c r="YK1" s="3"/>
      <c r="YL1" s="3"/>
      <c r="YM1" s="3"/>
      <c r="YN1" s="3"/>
      <c r="YO1" s="3"/>
      <c r="YP1" s="3"/>
      <c r="YQ1" s="3"/>
      <c r="YR1" s="3"/>
      <c r="YS1" s="3"/>
      <c r="YT1" s="3"/>
      <c r="YU1" s="3"/>
      <c r="YV1" s="3"/>
      <c r="YW1" s="3"/>
      <c r="YX1" s="3"/>
      <c r="YY1" s="3"/>
      <c r="YZ1" s="3"/>
      <c r="ZA1" s="3"/>
      <c r="ZB1" s="3"/>
      <c r="ZC1" s="3"/>
      <c r="ZD1" s="3"/>
      <c r="ZE1" s="3"/>
      <c r="ZF1" s="3"/>
      <c r="ZG1" s="3"/>
      <c r="ZH1" s="3"/>
      <c r="ZI1" s="3"/>
      <c r="ZJ1" s="3"/>
      <c r="ZK1" s="3"/>
      <c r="ZL1" s="3"/>
      <c r="ZM1" s="3"/>
      <c r="ZN1" s="3"/>
      <c r="ZO1" s="3"/>
      <c r="ZP1" s="3"/>
      <c r="ZQ1" s="3"/>
      <c r="ZR1" s="3"/>
      <c r="ZS1" s="3"/>
      <c r="ZT1" s="3"/>
      <c r="ZU1" s="3"/>
      <c r="ZV1" s="3"/>
      <c r="ZW1" s="3"/>
      <c r="ZX1" s="3"/>
      <c r="ZY1" s="3"/>
      <c r="ZZ1" s="3"/>
      <c r="AAA1" s="3"/>
      <c r="AAB1" s="3"/>
      <c r="AAC1" s="3"/>
      <c r="AAD1" s="3"/>
      <c r="AAE1" s="3"/>
      <c r="AAF1" s="3"/>
      <c r="AAG1" s="3"/>
      <c r="AAH1" s="3"/>
      <c r="AAI1" s="3"/>
      <c r="AAJ1" s="3"/>
      <c r="AAK1" s="3"/>
      <c r="AAL1" s="3"/>
      <c r="AAM1" s="3"/>
      <c r="AAN1" s="3"/>
      <c r="AAO1" s="3"/>
      <c r="AAP1" s="3"/>
      <c r="AAQ1" s="3"/>
      <c r="AAR1" s="3"/>
      <c r="AAS1" s="3"/>
      <c r="AAT1" s="3"/>
      <c r="AAU1" s="3"/>
      <c r="AAV1" s="3"/>
      <c r="AAW1" s="3"/>
      <c r="AAX1" s="3"/>
      <c r="AAY1" s="3"/>
      <c r="AAZ1" s="3"/>
      <c r="ABA1" s="3"/>
      <c r="ABB1" s="3"/>
      <c r="ABC1" s="3"/>
      <c r="ABD1" s="3"/>
      <c r="ABE1" s="3"/>
      <c r="ABF1" s="3"/>
      <c r="ABG1" s="3"/>
      <c r="ABH1" s="3"/>
      <c r="ABI1" s="3"/>
      <c r="ABJ1" s="3"/>
      <c r="ABK1" s="3"/>
      <c r="ABL1" s="3"/>
      <c r="ABM1" s="3"/>
      <c r="ABN1" s="3"/>
      <c r="ABO1" s="3"/>
      <c r="ABP1" s="3"/>
      <c r="ABQ1" s="3"/>
      <c r="ABR1" s="3"/>
      <c r="ABS1" s="3"/>
      <c r="ABT1" s="3"/>
      <c r="ABU1" s="3"/>
      <c r="ABV1" s="3"/>
      <c r="ABW1" s="3"/>
      <c r="ABX1" s="3"/>
      <c r="ABY1" s="3"/>
      <c r="ABZ1" s="3"/>
      <c r="ACA1" s="3"/>
      <c r="ACB1" s="3"/>
      <c r="ACC1" s="3"/>
      <c r="ACD1" s="3"/>
      <c r="ACE1" s="3"/>
      <c r="ACF1" s="3"/>
      <c r="ACG1" s="3"/>
      <c r="ACH1" s="3"/>
      <c r="ACI1" s="3"/>
      <c r="ACJ1" s="3"/>
      <c r="ACK1" s="3"/>
      <c r="ACL1" s="3"/>
      <c r="ACM1" s="3"/>
      <c r="ACN1" s="3"/>
      <c r="ACO1" s="3"/>
      <c r="ACP1" s="3"/>
      <c r="ACQ1" s="3"/>
      <c r="ACR1" s="3"/>
      <c r="ACS1" s="3"/>
      <c r="ACT1" s="3"/>
      <c r="ACU1" s="3"/>
      <c r="ACV1" s="3"/>
      <c r="ACW1" s="3"/>
      <c r="ACX1" s="3"/>
      <c r="ACY1" s="3"/>
      <c r="ACZ1" s="3"/>
      <c r="ADA1" s="3"/>
      <c r="ADB1" s="3"/>
      <c r="ADC1" s="3"/>
      <c r="ADD1" s="3"/>
      <c r="ADE1" s="3"/>
      <c r="ADF1" s="3"/>
      <c r="ADG1" s="3"/>
      <c r="ADH1" s="3"/>
      <c r="ADI1" s="3"/>
      <c r="ADJ1" s="3"/>
      <c r="ADK1" s="3"/>
      <c r="ADL1" s="3"/>
      <c r="ADM1" s="3"/>
      <c r="ADN1" s="3"/>
      <c r="ADO1" s="3"/>
      <c r="ADP1" s="3"/>
      <c r="ADQ1" s="3"/>
      <c r="ADR1" s="3"/>
      <c r="ADS1" s="3"/>
      <c r="ADT1" s="3"/>
      <c r="ADU1" s="3"/>
      <c r="ADV1" s="3"/>
      <c r="ADW1" s="3"/>
      <c r="ADX1" s="3"/>
      <c r="ADY1" s="3"/>
      <c r="ADZ1" s="3"/>
      <c r="AEA1" s="3"/>
      <c r="AEB1" s="3"/>
      <c r="AEC1" s="3"/>
      <c r="AED1" s="3"/>
      <c r="AEE1" s="3"/>
      <c r="AEF1" s="3"/>
      <c r="AEG1" s="3"/>
      <c r="AEH1" s="3"/>
      <c r="AEI1" s="3"/>
      <c r="AEJ1" s="3"/>
      <c r="AEK1" s="3"/>
      <c r="AEL1" s="3"/>
      <c r="AEM1" s="3"/>
      <c r="AEN1" s="3"/>
      <c r="AEO1" s="3"/>
      <c r="AEP1" s="3"/>
      <c r="AEQ1" s="3"/>
      <c r="AER1" s="3"/>
      <c r="AES1" s="3"/>
      <c r="AET1" s="3"/>
      <c r="AEU1" s="3"/>
      <c r="AEV1" s="3"/>
      <c r="AEW1" s="3"/>
      <c r="AEX1" s="3"/>
      <c r="AEY1" s="3"/>
      <c r="AEZ1" s="3"/>
      <c r="AFA1" s="3"/>
      <c r="AFB1" s="3"/>
      <c r="AFC1" s="3"/>
      <c r="AFD1" s="3"/>
      <c r="AFE1" s="3"/>
      <c r="AFF1" s="3"/>
      <c r="AFG1" s="3"/>
      <c r="AFH1" s="3"/>
      <c r="AFI1" s="3"/>
      <c r="AFJ1" s="3"/>
      <c r="AFK1" s="3"/>
      <c r="AFL1" s="3"/>
      <c r="AFM1" s="3"/>
      <c r="AFN1" s="3"/>
      <c r="AFO1" s="3"/>
      <c r="AFP1" s="3"/>
      <c r="AFQ1" s="3"/>
      <c r="AFR1" s="3"/>
      <c r="AFS1" s="3"/>
      <c r="AFT1" s="3"/>
      <c r="AFU1" s="3"/>
      <c r="AFV1" s="3"/>
      <c r="AFW1" s="3"/>
      <c r="AFX1" s="3"/>
      <c r="AFY1" s="3"/>
      <c r="AFZ1" s="3"/>
      <c r="AGA1" s="3"/>
      <c r="AGB1" s="3"/>
      <c r="AGC1" s="3"/>
      <c r="AGD1" s="3"/>
      <c r="AGE1" s="3"/>
      <c r="AGF1" s="3"/>
      <c r="AGG1" s="3"/>
      <c r="AGH1" s="3"/>
      <c r="AGI1" s="3"/>
      <c r="AGJ1" s="3"/>
      <c r="AGK1" s="3"/>
      <c r="AGL1" s="3"/>
      <c r="AGM1" s="3"/>
      <c r="AGN1" s="3"/>
      <c r="AGO1" s="3"/>
      <c r="AGP1" s="3"/>
      <c r="AGQ1" s="3"/>
      <c r="AGR1" s="3"/>
      <c r="AGS1" s="3"/>
      <c r="AGT1" s="3"/>
      <c r="AGU1" s="3"/>
      <c r="AGV1" s="3"/>
      <c r="AGW1" s="3"/>
      <c r="AGX1" s="3"/>
      <c r="AGY1" s="3"/>
      <c r="AGZ1" s="3"/>
      <c r="AHA1" s="3"/>
      <c r="AHB1" s="3"/>
      <c r="AHC1" s="3"/>
      <c r="AHD1" s="3"/>
      <c r="AHE1" s="3"/>
      <c r="AHF1" s="3"/>
      <c r="AHG1" s="3"/>
      <c r="AHH1" s="3"/>
      <c r="AHI1" s="3"/>
      <c r="AHJ1" s="3"/>
      <c r="AHK1" s="3"/>
      <c r="AHL1" s="3"/>
      <c r="AHM1" s="3"/>
      <c r="AHN1" s="3"/>
      <c r="AHO1" s="3"/>
      <c r="AHP1" s="3"/>
      <c r="AHQ1" s="3"/>
      <c r="AHR1" s="3"/>
      <c r="AHS1" s="3"/>
      <c r="AHT1" s="3"/>
      <c r="AHU1" s="3"/>
      <c r="AHV1" s="3"/>
      <c r="AHW1" s="3"/>
      <c r="AHX1" s="3"/>
      <c r="AHY1" s="3"/>
      <c r="AHZ1" s="3"/>
      <c r="AIA1" s="3"/>
      <c r="AIB1" s="3"/>
      <c r="AIC1" s="3"/>
      <c r="AID1" s="3"/>
      <c r="AIE1" s="3"/>
      <c r="AIF1" s="3"/>
      <c r="AIG1" s="3"/>
      <c r="AIH1" s="3"/>
      <c r="AII1" s="3"/>
      <c r="AIJ1" s="3"/>
      <c r="AIK1" s="3"/>
      <c r="AIL1" s="3"/>
      <c r="AIM1" s="3"/>
      <c r="AIN1" s="3"/>
      <c r="AIO1" s="3"/>
      <c r="AIP1" s="3"/>
      <c r="AIQ1" s="3"/>
      <c r="AIR1" s="3"/>
      <c r="AIS1" s="3"/>
      <c r="AIT1" s="3"/>
      <c r="AIU1" s="3"/>
      <c r="AIV1" s="3"/>
      <c r="AIW1" s="3"/>
      <c r="AIX1" s="3"/>
      <c r="AIY1" s="3"/>
      <c r="AIZ1" s="3"/>
      <c r="AJA1" s="3"/>
      <c r="AJB1" s="3"/>
      <c r="AJC1" s="3"/>
      <c r="AJD1" s="3"/>
      <c r="AJE1" s="3"/>
      <c r="AJF1" s="3"/>
      <c r="AJG1" s="3"/>
      <c r="AJH1" s="3"/>
      <c r="AJI1" s="3"/>
      <c r="AJJ1" s="3"/>
      <c r="AJK1" s="3"/>
      <c r="AJL1" s="3"/>
      <c r="AJM1" s="3"/>
      <c r="AJN1" s="3"/>
      <c r="AJO1" s="3"/>
      <c r="AJP1" s="3"/>
      <c r="AJQ1" s="3"/>
      <c r="AJR1" s="3"/>
      <c r="AJS1" s="3"/>
      <c r="AJT1" s="3"/>
      <c r="AJU1" s="3"/>
      <c r="AJV1" s="3"/>
      <c r="AJW1" s="3"/>
      <c r="AJX1" s="3"/>
      <c r="AJY1" s="3"/>
      <c r="AJZ1" s="3"/>
      <c r="AKA1" s="3"/>
      <c r="AKB1" s="3"/>
      <c r="AKC1" s="3"/>
      <c r="AKD1" s="3"/>
      <c r="AKE1" s="3"/>
      <c r="AKF1" s="3"/>
      <c r="AKG1" s="3"/>
      <c r="AKH1" s="3"/>
      <c r="AKI1" s="3"/>
      <c r="AKJ1" s="3"/>
      <c r="AKK1" s="3"/>
      <c r="AKL1" s="3"/>
      <c r="AKM1" s="3"/>
      <c r="AKN1" s="3"/>
      <c r="AKO1" s="3"/>
      <c r="AKP1" s="3"/>
      <c r="AKQ1" s="3"/>
      <c r="AKR1" s="3"/>
      <c r="AKS1" s="3"/>
      <c r="AKT1" s="3"/>
      <c r="AKU1" s="3"/>
      <c r="AKV1" s="3"/>
      <c r="AKW1" s="3"/>
      <c r="AKX1" s="3"/>
      <c r="AKY1" s="3"/>
      <c r="AKZ1" s="3"/>
      <c r="ALA1" s="3"/>
      <c r="ALB1" s="3"/>
      <c r="ALC1" s="3"/>
      <c r="ALD1" s="3"/>
      <c r="ALE1" s="3"/>
      <c r="ALF1" s="3"/>
      <c r="ALG1" s="3"/>
      <c r="ALH1" s="3"/>
      <c r="ALI1" s="3"/>
      <c r="ALJ1" s="3"/>
      <c r="ALK1" s="3"/>
      <c r="ALL1" s="3"/>
      <c r="ALM1" s="3"/>
      <c r="ALN1" s="3"/>
      <c r="ALO1" s="3"/>
      <c r="ALP1" s="3"/>
      <c r="ALQ1" s="3"/>
      <c r="ALR1" s="3"/>
      <c r="ALS1" s="3"/>
      <c r="ALT1" s="3"/>
      <c r="ALU1" s="3"/>
      <c r="ALV1" s="3"/>
      <c r="ALW1" s="3"/>
      <c r="ALX1" s="3"/>
      <c r="ALY1" s="3"/>
      <c r="ALZ1" s="3"/>
      <c r="AMA1" s="3"/>
      <c r="AMB1" s="3"/>
      <c r="AMC1" s="3"/>
      <c r="AMD1" s="3"/>
      <c r="AME1" s="3"/>
      <c r="AMF1" s="3"/>
      <c r="AMG1" s="3"/>
      <c r="AMH1" s="3"/>
      <c r="AMI1" s="1"/>
      <c r="AMJ1" s="1"/>
    </row>
    <row r="2" customFormat="false" ht="12.8" hidden="false" customHeight="false" outlineLevel="0" collapsed="false">
      <c r="A2" s="1" t="s">
        <v>28</v>
      </c>
      <c r="B2" s="8" t="n">
        <v>1000</v>
      </c>
      <c r="C2" s="9" t="n">
        <f aca="false">B2</f>
        <v>1000</v>
      </c>
      <c r="D2" s="10" t="n">
        <f aca="false">B2</f>
        <v>1000</v>
      </c>
      <c r="F2" s="1" t="s">
        <v>29</v>
      </c>
      <c r="G2" s="11" t="n">
        <v>0.25</v>
      </c>
    </row>
    <row r="3" customFormat="false" ht="12.8" hidden="false" customHeight="false" outlineLevel="0" collapsed="false">
      <c r="A3" s="1" t="s">
        <v>66</v>
      </c>
      <c r="B3" s="12" t="n">
        <v>183</v>
      </c>
      <c r="E3" s="1" t="s">
        <v>67</v>
      </c>
      <c r="F3" s="1" t="s">
        <v>32</v>
      </c>
      <c r="G3" s="10" t="n">
        <f aca="false">$B$2*G2</f>
        <v>250</v>
      </c>
    </row>
    <row r="4" customFormat="false" ht="12.8" hidden="false" customHeight="false" outlineLevel="0" collapsed="false">
      <c r="A4" s="1" t="s">
        <v>36</v>
      </c>
      <c r="B4" s="9" t="n">
        <f aca="false">ROUND(G3/2,2)</f>
        <v>125</v>
      </c>
      <c r="C4" s="9" t="n">
        <f aca="false">ROUND(C2-B4,2)</f>
        <v>875</v>
      </c>
      <c r="D4" s="10"/>
      <c r="E4" s="1" t="s">
        <v>34</v>
      </c>
      <c r="F4" s="1" t="s">
        <v>35</v>
      </c>
      <c r="G4" s="13" t="n">
        <v>1</v>
      </c>
    </row>
    <row r="5" customFormat="false" ht="12.8" hidden="false" customHeight="false" outlineLevel="0" collapsed="false">
      <c r="A5" s="1" t="s">
        <v>74</v>
      </c>
      <c r="B5" s="12" t="n">
        <v>90</v>
      </c>
      <c r="C5" s="9"/>
      <c r="D5" s="10"/>
      <c r="G5" s="27"/>
    </row>
    <row r="6" customFormat="false" ht="12.8" hidden="false" customHeight="false" outlineLevel="0" collapsed="false">
      <c r="A6" s="1" t="s">
        <v>75</v>
      </c>
      <c r="B6" s="9" t="n">
        <f aca="false">ROUND($G$3*B5/Intro!$N$2,2)</f>
        <v>61.64</v>
      </c>
      <c r="C6" s="9" t="n">
        <f aca="false">ROUND(C4-B6,2)</f>
        <v>813.36</v>
      </c>
      <c r="D6" s="10"/>
      <c r="E6" s="1" t="s">
        <v>76</v>
      </c>
    </row>
    <row r="7" customFormat="false" ht="12.8" hidden="false" customHeight="false" outlineLevel="0" collapsed="false">
      <c r="A7" s="1" t="s">
        <v>77</v>
      </c>
      <c r="B7" s="8" t="n">
        <v>725</v>
      </c>
      <c r="C7" s="9" t="n">
        <f aca="false">ROUND(C6-B7,2)</f>
        <v>88.36</v>
      </c>
      <c r="D7" s="10" t="n">
        <f aca="false">D2-B7</f>
        <v>275</v>
      </c>
      <c r="F7" s="1" t="s">
        <v>78</v>
      </c>
      <c r="G7" s="10" t="n">
        <f aca="false">D7*G2</f>
        <v>68.75</v>
      </c>
    </row>
    <row r="8" customFormat="false" ht="12.8" hidden="false" customHeight="false" outlineLevel="0" collapsed="false">
      <c r="A8" s="1" t="s">
        <v>79</v>
      </c>
      <c r="B8" s="28" t="n">
        <f aca="false">Intro!$N$2-B5</f>
        <v>275</v>
      </c>
      <c r="C8" s="9"/>
      <c r="D8" s="10"/>
    </row>
    <row r="9" customFormat="false" ht="12.8" hidden="false" customHeight="false" outlineLevel="0" collapsed="false">
      <c r="A9" s="1" t="s">
        <v>80</v>
      </c>
      <c r="B9" s="9" t="n">
        <f aca="false">ROUND($G$7*B8/Intro!$N$2,2)</f>
        <v>51.8</v>
      </c>
      <c r="C9" s="9" t="n">
        <f aca="false">ROUND(C7-B9,2)</f>
        <v>36.56</v>
      </c>
      <c r="D9" s="10"/>
      <c r="E9" s="1" t="s">
        <v>81</v>
      </c>
    </row>
    <row r="10" customFormat="false" ht="12.8" hidden="false" customHeight="false" outlineLevel="0" collapsed="false">
      <c r="A10" s="1" t="s">
        <v>82</v>
      </c>
      <c r="B10" s="12" t="n">
        <v>31</v>
      </c>
      <c r="E10" s="1" t="s">
        <v>39</v>
      </c>
    </row>
    <row r="11" customFormat="false" ht="12.8" hidden="false" customHeight="false" outlineLevel="0" collapsed="false">
      <c r="A11" s="1" t="s">
        <v>83</v>
      </c>
      <c r="B11" s="9" t="n">
        <f aca="false">$G$7*B10/365</f>
        <v>5.83904109589041</v>
      </c>
      <c r="C11" s="9" t="n">
        <f aca="false">C9-B11</f>
        <v>30.7209589041096</v>
      </c>
      <c r="E11" s="1" t="s">
        <v>41</v>
      </c>
    </row>
    <row r="12" customFormat="false" ht="12.8" hidden="false" customHeight="false" outlineLevel="0" collapsed="false">
      <c r="A12" s="1" t="s">
        <v>42</v>
      </c>
      <c r="B12" s="9" t="n">
        <f aca="false">C11*$G$4</f>
        <v>30.7209589041096</v>
      </c>
      <c r="C12" s="9" t="n">
        <f aca="false">C11-B12</f>
        <v>0</v>
      </c>
      <c r="E12" s="1" t="s">
        <v>26</v>
      </c>
    </row>
    <row r="13" customFormat="false" ht="12.8" hidden="false" customHeight="false" outlineLevel="0" collapsed="false">
      <c r="A13" s="1" t="s">
        <v>43</v>
      </c>
      <c r="B13" s="8" t="n">
        <v>1400</v>
      </c>
      <c r="E13" s="1" t="s">
        <v>44</v>
      </c>
    </row>
    <row r="14" customFormat="false" ht="12.8" hidden="false" customHeight="false" outlineLevel="0" collapsed="false">
      <c r="A14" s="1" t="s">
        <v>45</v>
      </c>
      <c r="B14" s="9" t="n">
        <f aca="false">B13-B12</f>
        <v>1369.27904109589</v>
      </c>
      <c r="E14" s="1" t="s">
        <v>46</v>
      </c>
    </row>
    <row r="16" customFormat="false" ht="12.8" hidden="false" customHeight="false" outlineLevel="0" collapsed="false">
      <c r="D16" s="10"/>
    </row>
    <row r="17" customFormat="false" ht="12.8" hidden="false" customHeight="false" outlineLevel="0" collapsed="false">
      <c r="A17" s="1" t="s">
        <v>47</v>
      </c>
      <c r="B17" s="1" t="s">
        <v>48</v>
      </c>
      <c r="C17" s="1" t="s">
        <v>49</v>
      </c>
      <c r="F17" s="1" t="s">
        <v>48</v>
      </c>
      <c r="G17" s="1" t="s">
        <v>49</v>
      </c>
      <c r="H17" s="1" t="s">
        <v>50</v>
      </c>
      <c r="I17" s="1" t="s">
        <v>51</v>
      </c>
    </row>
    <row r="18" customFormat="false" ht="12.8" hidden="false" customHeight="false" outlineLevel="0" collapsed="false">
      <c r="E18" s="1" t="s">
        <v>52</v>
      </c>
      <c r="G18" s="10" t="n">
        <f aca="false">$B$2</f>
        <v>1000</v>
      </c>
      <c r="H18" s="10" t="n">
        <f aca="false">F18-G18</f>
        <v>-1000</v>
      </c>
    </row>
    <row r="19" customFormat="false" ht="12.8" hidden="false" customHeight="false" outlineLevel="0" collapsed="false">
      <c r="A19" s="1" t="s">
        <v>70</v>
      </c>
      <c r="E19" s="1" t="s">
        <v>54</v>
      </c>
      <c r="F19" s="10" t="n">
        <f aca="false">$B$2</f>
        <v>1000</v>
      </c>
      <c r="H19" s="10" t="n">
        <f aca="false">F19-G19</f>
        <v>1000</v>
      </c>
    </row>
    <row r="20" customFormat="false" ht="12.8" hidden="false" customHeight="false" outlineLevel="0" collapsed="false">
      <c r="A20" s="1" t="s">
        <v>55</v>
      </c>
      <c r="C20" s="10" t="n">
        <f aca="false">B4</f>
        <v>125</v>
      </c>
      <c r="E20" s="1" t="s">
        <v>55</v>
      </c>
      <c r="G20" s="10" t="n">
        <f aca="false">C20</f>
        <v>125</v>
      </c>
      <c r="H20" s="10" t="n">
        <f aca="false">F20-G20</f>
        <v>-125</v>
      </c>
    </row>
    <row r="21" customFormat="false" ht="12.8" hidden="false" customHeight="false" outlineLevel="0" collapsed="false">
      <c r="A21" s="1" t="s">
        <v>56</v>
      </c>
      <c r="B21" s="9" t="n">
        <f aca="false">B4</f>
        <v>125</v>
      </c>
      <c r="E21" s="1" t="s">
        <v>57</v>
      </c>
      <c r="F21" s="10" t="n">
        <f aca="false">B21</f>
        <v>125</v>
      </c>
      <c r="H21" s="10" t="n">
        <f aca="false">F21-G21</f>
        <v>125</v>
      </c>
    </row>
    <row r="22" customFormat="false" ht="12.8" hidden="false" customHeight="false" outlineLevel="0" collapsed="false">
      <c r="A22" s="14" t="s">
        <v>58</v>
      </c>
      <c r="B22" s="15" t="n">
        <f aca="false">SUM(B19:B21)</f>
        <v>125</v>
      </c>
      <c r="C22" s="15" t="n">
        <f aca="false">SUM(C19:C21)</f>
        <v>125</v>
      </c>
      <c r="E22" s="3" t="s">
        <v>59</v>
      </c>
      <c r="H22" s="6" t="n">
        <f aca="false">H19+H20</f>
        <v>875</v>
      </c>
      <c r="I22" s="16" t="n">
        <f aca="false">C4</f>
        <v>875</v>
      </c>
    </row>
    <row r="23" customFormat="false" ht="12.8" hidden="false" customHeight="false" outlineLevel="0" collapsed="false">
      <c r="G23" s="10"/>
      <c r="H23" s="10"/>
    </row>
    <row r="24" customFormat="false" ht="12.8" hidden="false" customHeight="false" outlineLevel="0" collapsed="false">
      <c r="A24" s="1" t="s">
        <v>71</v>
      </c>
      <c r="E24" s="1" t="s">
        <v>54</v>
      </c>
      <c r="F24" s="10" t="n">
        <f aca="false">F19</f>
        <v>1000</v>
      </c>
      <c r="H24" s="10" t="n">
        <f aca="false">F24-G24</f>
        <v>1000</v>
      </c>
    </row>
    <row r="25" customFormat="false" ht="12.8" hidden="false" customHeight="false" outlineLevel="0" collapsed="false">
      <c r="A25" s="1" t="s">
        <v>55</v>
      </c>
      <c r="C25" s="10" t="n">
        <f aca="false">B6</f>
        <v>61.64</v>
      </c>
      <c r="E25" s="1" t="s">
        <v>55</v>
      </c>
      <c r="G25" s="10" t="n">
        <f aca="false">G20+C25</f>
        <v>186.64</v>
      </c>
      <c r="H25" s="10" t="n">
        <f aca="false">F25-G25</f>
        <v>-186.64</v>
      </c>
    </row>
    <row r="26" customFormat="false" ht="12.8" hidden="false" customHeight="false" outlineLevel="0" collapsed="false">
      <c r="A26" s="1" t="s">
        <v>56</v>
      </c>
      <c r="B26" s="9" t="n">
        <f aca="false">B6</f>
        <v>61.64</v>
      </c>
      <c r="E26" s="1" t="s">
        <v>57</v>
      </c>
      <c r="F26" s="10" t="n">
        <f aca="false">B26</f>
        <v>61.64</v>
      </c>
      <c r="H26" s="10" t="n">
        <f aca="false">F26-G26</f>
        <v>61.64</v>
      </c>
    </row>
    <row r="27" customFormat="false" ht="12.8" hidden="false" customHeight="false" outlineLevel="0" collapsed="false">
      <c r="A27" s="14" t="s">
        <v>58</v>
      </c>
      <c r="B27" s="15" t="n">
        <f aca="false">SUM(B24:B26)</f>
        <v>61.64</v>
      </c>
      <c r="C27" s="15" t="n">
        <f aca="false">SUM(C24:C26)</f>
        <v>61.64</v>
      </c>
      <c r="E27" s="3" t="s">
        <v>59</v>
      </c>
      <c r="H27" s="6" t="n">
        <f aca="false">H24+H25</f>
        <v>813.36</v>
      </c>
      <c r="I27" s="16" t="n">
        <f aca="false">C6</f>
        <v>813.36</v>
      </c>
    </row>
    <row r="29" customFormat="false" ht="12.8" hidden="false" customHeight="false" outlineLevel="0" collapsed="false">
      <c r="A29" s="1" t="s">
        <v>77</v>
      </c>
      <c r="E29" s="1" t="s">
        <v>54</v>
      </c>
      <c r="F29" s="10" t="n">
        <f aca="false">F24</f>
        <v>1000</v>
      </c>
      <c r="G29" s="10" t="n">
        <f aca="false">C30</f>
        <v>725</v>
      </c>
      <c r="H29" s="10" t="n">
        <f aca="false">F29-G29</f>
        <v>275</v>
      </c>
    </row>
    <row r="30" customFormat="false" ht="12.8" hidden="false" customHeight="false" outlineLevel="0" collapsed="false">
      <c r="A30" s="1" t="s">
        <v>54</v>
      </c>
      <c r="C30" s="10" t="n">
        <f aca="false">B7</f>
        <v>725</v>
      </c>
      <c r="E30" s="1" t="s">
        <v>55</v>
      </c>
      <c r="G30" s="10" t="n">
        <f aca="false">G25</f>
        <v>186.64</v>
      </c>
      <c r="H30" s="10" t="n">
        <f aca="false">F30-G30</f>
        <v>-186.64</v>
      </c>
    </row>
    <row r="31" customFormat="false" ht="12.8" hidden="false" customHeight="false" outlineLevel="0" collapsed="false">
      <c r="A31" s="1" t="s">
        <v>84</v>
      </c>
      <c r="B31" s="29" t="n">
        <f aca="false">B7</f>
        <v>725</v>
      </c>
      <c r="E31" s="1" t="s">
        <v>57</v>
      </c>
      <c r="F31" s="10" t="n">
        <f aca="false">F26</f>
        <v>61.64</v>
      </c>
      <c r="H31" s="10" t="n">
        <f aca="false">F31-G31</f>
        <v>61.64</v>
      </c>
    </row>
    <row r="32" customFormat="false" ht="12.8" hidden="false" customHeight="false" outlineLevel="0" collapsed="false">
      <c r="A32" s="14" t="s">
        <v>58</v>
      </c>
      <c r="B32" s="15" t="n">
        <f aca="false">SUM(B29:B31)</f>
        <v>725</v>
      </c>
      <c r="C32" s="15" t="n">
        <f aca="false">SUM(C29:C31)</f>
        <v>725</v>
      </c>
      <c r="E32" s="3" t="s">
        <v>59</v>
      </c>
      <c r="H32" s="6" t="n">
        <f aca="false">H29+H30</f>
        <v>88.36</v>
      </c>
      <c r="I32" s="16" t="n">
        <f aca="false">C7</f>
        <v>88.36</v>
      </c>
    </row>
    <row r="33" customFormat="false" ht="12.8" hidden="false" customHeight="false" outlineLevel="0" collapsed="false">
      <c r="A33" s="14"/>
      <c r="B33" s="15"/>
      <c r="C33" s="15"/>
    </row>
    <row r="34" customFormat="false" ht="12.8" hidden="false" customHeight="false" outlineLevel="0" collapsed="false">
      <c r="A34" s="1" t="s">
        <v>85</v>
      </c>
      <c r="E34" s="1" t="s">
        <v>54</v>
      </c>
      <c r="F34" s="10" t="n">
        <f aca="false">F29</f>
        <v>1000</v>
      </c>
      <c r="G34" s="10" t="n">
        <f aca="false">G29</f>
        <v>725</v>
      </c>
      <c r="H34" s="10" t="n">
        <f aca="false">F34-G34</f>
        <v>275</v>
      </c>
    </row>
    <row r="35" customFormat="false" ht="12.8" hidden="false" customHeight="false" outlineLevel="0" collapsed="false">
      <c r="A35" s="1" t="s">
        <v>55</v>
      </c>
      <c r="C35" s="10" t="n">
        <f aca="false">B9</f>
        <v>51.8</v>
      </c>
      <c r="E35" s="1" t="s">
        <v>55</v>
      </c>
      <c r="G35" s="10" t="n">
        <f aca="false">G30+C35</f>
        <v>238.44</v>
      </c>
      <c r="H35" s="10" t="n">
        <f aca="false">F35-G35</f>
        <v>-238.44</v>
      </c>
    </row>
    <row r="36" customFormat="false" ht="12.8" hidden="false" customHeight="false" outlineLevel="0" collapsed="false">
      <c r="A36" s="1" t="s">
        <v>56</v>
      </c>
      <c r="B36" s="9" t="n">
        <f aca="false">B9</f>
        <v>51.8</v>
      </c>
      <c r="E36" s="1" t="s">
        <v>57</v>
      </c>
      <c r="F36" s="10" t="n">
        <f aca="false">F31+B36</f>
        <v>113.44</v>
      </c>
      <c r="H36" s="10" t="n">
        <f aca="false">F36-G36</f>
        <v>113.44</v>
      </c>
    </row>
    <row r="37" customFormat="false" ht="12.8" hidden="false" customHeight="false" outlineLevel="0" collapsed="false">
      <c r="A37" s="14" t="s">
        <v>58</v>
      </c>
      <c r="B37" s="15" t="n">
        <f aca="false">SUM(B34:B36)</f>
        <v>51.8</v>
      </c>
      <c r="C37" s="15" t="n">
        <f aca="false">SUM(C34:C36)</f>
        <v>51.8</v>
      </c>
      <c r="E37" s="3" t="s">
        <v>59</v>
      </c>
      <c r="H37" s="6" t="n">
        <f aca="false">H34+H35</f>
        <v>36.56</v>
      </c>
      <c r="I37" s="16" t="n">
        <f aca="false">C9</f>
        <v>36.56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&amp;CPagina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J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0" activeCellId="0" sqref="B10"/>
    </sheetView>
  </sheetViews>
  <sheetFormatPr defaultColWidth="11.5703125" defaultRowHeight="12.8" zeroHeight="false" outlineLevelRow="0" outlineLevelCol="0"/>
  <cols>
    <col collapsed="false" customWidth="true" hidden="false" outlineLevel="0" max="1" min="1" style="1" width="27.72"/>
    <col collapsed="false" customWidth="true" hidden="false" outlineLevel="0" max="3" min="2" style="1" width="10.39"/>
    <col collapsed="false" customWidth="true" hidden="false" outlineLevel="0" max="4" min="4" style="1" width="11.72"/>
    <col collapsed="false" customWidth="true" hidden="false" outlineLevel="0" max="5" min="5" style="1" width="47.56"/>
    <col collapsed="false" customWidth="true" hidden="false" outlineLevel="0" max="6" min="6" style="1" width="9.26"/>
    <col collapsed="false" customWidth="true" hidden="false" outlineLevel="0" max="7" min="7" style="1" width="9.91"/>
    <col collapsed="false" customWidth="false" hidden="false" outlineLevel="0" max="8" min="8" style="4" width="11.57"/>
    <col collapsed="false" customWidth="false" hidden="false" outlineLevel="0" max="1021" min="10" style="4" width="11.57"/>
    <col collapsed="false" customWidth="false" hidden="false" outlineLevel="0" max="1023" min="1023" style="4" width="11.57"/>
  </cols>
  <sheetData>
    <row r="1" customFormat="false" ht="12.8" hidden="false" customHeight="false" outlineLevel="0" collapsed="false">
      <c r="A1" s="3" t="s">
        <v>24</v>
      </c>
      <c r="B1" s="6" t="s">
        <v>25</v>
      </c>
      <c r="C1" s="6" t="s">
        <v>26</v>
      </c>
      <c r="D1" s="6"/>
      <c r="E1" s="3" t="s">
        <v>27</v>
      </c>
      <c r="F1" s="3"/>
      <c r="G1" s="7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3"/>
      <c r="CI1" s="3"/>
      <c r="CJ1" s="3"/>
      <c r="CK1" s="3"/>
      <c r="CL1" s="3"/>
      <c r="CM1" s="3"/>
      <c r="CN1" s="3"/>
      <c r="CO1" s="3"/>
      <c r="CP1" s="3"/>
      <c r="CQ1" s="3"/>
      <c r="CR1" s="3"/>
      <c r="CS1" s="3"/>
      <c r="CT1" s="3"/>
      <c r="CU1" s="3"/>
      <c r="CV1" s="3"/>
      <c r="CW1" s="3"/>
      <c r="CX1" s="3"/>
      <c r="CY1" s="3"/>
      <c r="CZ1" s="3"/>
      <c r="DA1" s="3"/>
      <c r="DB1" s="3"/>
      <c r="DC1" s="3"/>
      <c r="DD1" s="3"/>
      <c r="DE1" s="3"/>
      <c r="DF1" s="3"/>
      <c r="DG1" s="3"/>
      <c r="DH1" s="3"/>
      <c r="DI1" s="3"/>
      <c r="DJ1" s="3"/>
      <c r="DK1" s="3"/>
      <c r="DL1" s="3"/>
      <c r="DM1" s="3"/>
      <c r="DN1" s="3"/>
      <c r="DO1" s="3"/>
      <c r="DP1" s="3"/>
      <c r="DQ1" s="3"/>
      <c r="DR1" s="3"/>
      <c r="DS1" s="3"/>
      <c r="DT1" s="3"/>
      <c r="DU1" s="3"/>
      <c r="DV1" s="3"/>
      <c r="DW1" s="3"/>
      <c r="DX1" s="3"/>
      <c r="DY1" s="3"/>
      <c r="DZ1" s="3"/>
      <c r="EA1" s="3"/>
      <c r="EB1" s="3"/>
      <c r="EC1" s="3"/>
      <c r="ED1" s="3"/>
      <c r="EE1" s="3"/>
      <c r="EF1" s="3"/>
      <c r="EG1" s="3"/>
      <c r="EH1" s="3"/>
      <c r="EI1" s="3"/>
      <c r="EJ1" s="3"/>
      <c r="EK1" s="3"/>
      <c r="EL1" s="3"/>
      <c r="EM1" s="3"/>
      <c r="EN1" s="3"/>
      <c r="EO1" s="3"/>
      <c r="EP1" s="3"/>
      <c r="EQ1" s="3"/>
      <c r="ER1" s="3"/>
      <c r="ES1" s="3"/>
      <c r="ET1" s="3"/>
      <c r="EU1" s="3"/>
      <c r="EV1" s="3"/>
      <c r="EW1" s="3"/>
      <c r="EX1" s="3"/>
      <c r="EY1" s="3"/>
      <c r="EZ1" s="3"/>
      <c r="FA1" s="3"/>
      <c r="FB1" s="3"/>
      <c r="FC1" s="3"/>
      <c r="FD1" s="3"/>
      <c r="FE1" s="3"/>
      <c r="FF1" s="3"/>
      <c r="FG1" s="3"/>
      <c r="FH1" s="3"/>
      <c r="FI1" s="3"/>
      <c r="FJ1" s="3"/>
      <c r="FK1" s="3"/>
      <c r="FL1" s="3"/>
      <c r="FM1" s="3"/>
      <c r="FN1" s="3"/>
      <c r="FO1" s="3"/>
      <c r="FP1" s="3"/>
      <c r="FQ1" s="3"/>
      <c r="FR1" s="3"/>
      <c r="FS1" s="3"/>
      <c r="FT1" s="3"/>
      <c r="FU1" s="3"/>
      <c r="FV1" s="3"/>
      <c r="FW1" s="3"/>
      <c r="FX1" s="3"/>
      <c r="FY1" s="3"/>
      <c r="FZ1" s="3"/>
      <c r="GA1" s="3"/>
      <c r="GB1" s="3"/>
      <c r="GC1" s="3"/>
      <c r="GD1" s="3"/>
      <c r="GE1" s="3"/>
      <c r="GF1" s="3"/>
      <c r="GG1" s="3"/>
      <c r="GH1" s="3"/>
      <c r="GI1" s="3"/>
      <c r="GJ1" s="3"/>
      <c r="GK1" s="3"/>
      <c r="GL1" s="3"/>
      <c r="GM1" s="3"/>
      <c r="GN1" s="3"/>
      <c r="GO1" s="3"/>
      <c r="GP1" s="3"/>
      <c r="GQ1" s="3"/>
      <c r="GR1" s="3"/>
      <c r="GS1" s="3"/>
      <c r="GT1" s="3"/>
      <c r="GU1" s="3"/>
      <c r="GV1" s="3"/>
      <c r="GW1" s="3"/>
      <c r="GX1" s="3"/>
      <c r="GY1" s="3"/>
      <c r="GZ1" s="3"/>
      <c r="HA1" s="3"/>
      <c r="HB1" s="3"/>
      <c r="HC1" s="3"/>
      <c r="HD1" s="3"/>
      <c r="HE1" s="3"/>
      <c r="HF1" s="3"/>
      <c r="HG1" s="3"/>
      <c r="HH1" s="3"/>
      <c r="HI1" s="3"/>
      <c r="HJ1" s="3"/>
      <c r="HK1" s="3"/>
      <c r="HL1" s="3"/>
      <c r="HM1" s="3"/>
      <c r="HN1" s="3"/>
      <c r="HO1" s="3"/>
      <c r="HP1" s="3"/>
      <c r="HQ1" s="3"/>
      <c r="HR1" s="3"/>
      <c r="HS1" s="3"/>
      <c r="HT1" s="3"/>
      <c r="HU1" s="3"/>
      <c r="HV1" s="3"/>
      <c r="HW1" s="3"/>
      <c r="HX1" s="3"/>
      <c r="HY1" s="3"/>
      <c r="HZ1" s="3"/>
      <c r="IA1" s="3"/>
      <c r="IB1" s="3"/>
      <c r="IC1" s="3"/>
      <c r="ID1" s="3"/>
      <c r="IE1" s="3"/>
      <c r="IF1" s="3"/>
      <c r="IG1" s="3"/>
      <c r="IH1" s="3"/>
      <c r="II1" s="3"/>
      <c r="IJ1" s="3"/>
      <c r="IK1" s="3"/>
      <c r="IL1" s="3"/>
      <c r="IM1" s="3"/>
      <c r="IN1" s="3"/>
      <c r="IO1" s="3"/>
      <c r="IP1" s="3"/>
      <c r="IQ1" s="3"/>
      <c r="IR1" s="3"/>
      <c r="IS1" s="3"/>
      <c r="IT1" s="3"/>
      <c r="IU1" s="3"/>
      <c r="IV1" s="3"/>
      <c r="IW1" s="3"/>
      <c r="IX1" s="3"/>
      <c r="IY1" s="3"/>
      <c r="IZ1" s="3"/>
      <c r="JA1" s="3"/>
      <c r="JB1" s="3"/>
      <c r="JC1" s="3"/>
      <c r="JD1" s="3"/>
      <c r="JE1" s="3"/>
      <c r="JF1" s="3"/>
      <c r="JG1" s="3"/>
      <c r="JH1" s="3"/>
      <c r="JI1" s="3"/>
      <c r="JJ1" s="3"/>
      <c r="JK1" s="3"/>
      <c r="JL1" s="3"/>
      <c r="JM1" s="3"/>
      <c r="JN1" s="3"/>
      <c r="JO1" s="3"/>
      <c r="JP1" s="3"/>
      <c r="JQ1" s="3"/>
      <c r="JR1" s="3"/>
      <c r="JS1" s="3"/>
      <c r="JT1" s="3"/>
      <c r="JU1" s="3"/>
      <c r="JV1" s="3"/>
      <c r="JW1" s="3"/>
      <c r="JX1" s="3"/>
      <c r="JY1" s="3"/>
      <c r="JZ1" s="3"/>
      <c r="KA1" s="3"/>
      <c r="KB1" s="3"/>
      <c r="KC1" s="3"/>
      <c r="KD1" s="3"/>
      <c r="KE1" s="3"/>
      <c r="KF1" s="3"/>
      <c r="KG1" s="3"/>
      <c r="KH1" s="3"/>
      <c r="KI1" s="3"/>
      <c r="KJ1" s="3"/>
      <c r="KK1" s="3"/>
      <c r="KL1" s="3"/>
      <c r="KM1" s="3"/>
      <c r="KN1" s="3"/>
      <c r="KO1" s="3"/>
      <c r="KP1" s="3"/>
      <c r="KQ1" s="3"/>
      <c r="KR1" s="3"/>
      <c r="KS1" s="3"/>
      <c r="KT1" s="3"/>
      <c r="KU1" s="3"/>
      <c r="KV1" s="3"/>
      <c r="KW1" s="3"/>
      <c r="KX1" s="3"/>
      <c r="KY1" s="3"/>
      <c r="KZ1" s="3"/>
      <c r="LA1" s="3"/>
      <c r="LB1" s="3"/>
      <c r="LC1" s="3"/>
      <c r="LD1" s="3"/>
      <c r="LE1" s="3"/>
      <c r="LF1" s="3"/>
      <c r="LG1" s="3"/>
      <c r="LH1" s="3"/>
      <c r="LI1" s="3"/>
      <c r="LJ1" s="3"/>
      <c r="LK1" s="3"/>
      <c r="LL1" s="3"/>
      <c r="LM1" s="3"/>
      <c r="LN1" s="3"/>
      <c r="LO1" s="3"/>
      <c r="LP1" s="3"/>
      <c r="LQ1" s="3"/>
      <c r="LR1" s="3"/>
      <c r="LS1" s="3"/>
      <c r="LT1" s="3"/>
      <c r="LU1" s="3"/>
      <c r="LV1" s="3"/>
      <c r="LW1" s="3"/>
      <c r="LX1" s="3"/>
      <c r="LY1" s="3"/>
      <c r="LZ1" s="3"/>
      <c r="MA1" s="3"/>
      <c r="MB1" s="3"/>
      <c r="MC1" s="3"/>
      <c r="MD1" s="3"/>
      <c r="ME1" s="3"/>
      <c r="MF1" s="3"/>
      <c r="MG1" s="3"/>
      <c r="MH1" s="3"/>
      <c r="MI1" s="3"/>
      <c r="MJ1" s="3"/>
      <c r="MK1" s="3"/>
      <c r="ML1" s="3"/>
      <c r="MM1" s="3"/>
      <c r="MN1" s="3"/>
      <c r="MO1" s="3"/>
      <c r="MP1" s="3"/>
      <c r="MQ1" s="3"/>
      <c r="MR1" s="3"/>
      <c r="MS1" s="3"/>
      <c r="MT1" s="3"/>
      <c r="MU1" s="3"/>
      <c r="MV1" s="3"/>
      <c r="MW1" s="3"/>
      <c r="MX1" s="3"/>
      <c r="MY1" s="3"/>
      <c r="MZ1" s="3"/>
      <c r="NA1" s="3"/>
      <c r="NB1" s="3"/>
      <c r="NC1" s="3"/>
      <c r="ND1" s="3"/>
      <c r="NE1" s="3"/>
      <c r="NF1" s="3"/>
      <c r="NG1" s="3"/>
      <c r="NH1" s="3"/>
      <c r="NI1" s="3"/>
      <c r="NJ1" s="3"/>
      <c r="NK1" s="3"/>
      <c r="NL1" s="3"/>
      <c r="NM1" s="3"/>
      <c r="NN1" s="3"/>
      <c r="NO1" s="3"/>
      <c r="NP1" s="3"/>
      <c r="NQ1" s="3"/>
      <c r="NR1" s="3"/>
      <c r="NS1" s="3"/>
      <c r="NT1" s="3"/>
      <c r="NU1" s="3"/>
      <c r="NV1" s="3"/>
      <c r="NW1" s="3"/>
      <c r="NX1" s="3"/>
      <c r="NY1" s="3"/>
      <c r="NZ1" s="3"/>
      <c r="OA1" s="3"/>
      <c r="OB1" s="3"/>
      <c r="OC1" s="3"/>
      <c r="OD1" s="3"/>
      <c r="OE1" s="3"/>
      <c r="OF1" s="3"/>
      <c r="OG1" s="3"/>
      <c r="OH1" s="3"/>
      <c r="OI1" s="3"/>
      <c r="OJ1" s="3"/>
      <c r="OK1" s="3"/>
      <c r="OL1" s="3"/>
      <c r="OM1" s="3"/>
      <c r="ON1" s="3"/>
      <c r="OO1" s="3"/>
      <c r="OP1" s="3"/>
      <c r="OQ1" s="3"/>
      <c r="OR1" s="3"/>
      <c r="OS1" s="3"/>
      <c r="OT1" s="3"/>
      <c r="OU1" s="3"/>
      <c r="OV1" s="3"/>
      <c r="OW1" s="3"/>
      <c r="OX1" s="3"/>
      <c r="OY1" s="3"/>
      <c r="OZ1" s="3"/>
      <c r="PA1" s="3"/>
      <c r="PB1" s="3"/>
      <c r="PC1" s="3"/>
      <c r="PD1" s="3"/>
      <c r="PE1" s="3"/>
      <c r="PF1" s="3"/>
      <c r="PG1" s="3"/>
      <c r="PH1" s="3"/>
      <c r="PI1" s="3"/>
      <c r="PJ1" s="3"/>
      <c r="PK1" s="3"/>
      <c r="PL1" s="3"/>
      <c r="PM1" s="3"/>
      <c r="PN1" s="3"/>
      <c r="PO1" s="3"/>
      <c r="PP1" s="3"/>
      <c r="PQ1" s="3"/>
      <c r="PR1" s="3"/>
      <c r="PS1" s="3"/>
      <c r="PT1" s="3"/>
      <c r="PU1" s="3"/>
      <c r="PV1" s="3"/>
      <c r="PW1" s="3"/>
      <c r="PX1" s="3"/>
      <c r="PY1" s="3"/>
      <c r="PZ1" s="3"/>
      <c r="QA1" s="3"/>
      <c r="QB1" s="3"/>
      <c r="QC1" s="3"/>
      <c r="QD1" s="3"/>
      <c r="QE1" s="3"/>
      <c r="QF1" s="3"/>
      <c r="QG1" s="3"/>
      <c r="QH1" s="3"/>
      <c r="QI1" s="3"/>
      <c r="QJ1" s="3"/>
      <c r="QK1" s="3"/>
      <c r="QL1" s="3"/>
      <c r="QM1" s="3"/>
      <c r="QN1" s="3"/>
      <c r="QO1" s="3"/>
      <c r="QP1" s="3"/>
      <c r="QQ1" s="3"/>
      <c r="QR1" s="3"/>
      <c r="QS1" s="3"/>
      <c r="QT1" s="3"/>
      <c r="QU1" s="3"/>
      <c r="QV1" s="3"/>
      <c r="QW1" s="3"/>
      <c r="QX1" s="3"/>
      <c r="QY1" s="3"/>
      <c r="QZ1" s="3"/>
      <c r="RA1" s="3"/>
      <c r="RB1" s="3"/>
      <c r="RC1" s="3"/>
      <c r="RD1" s="3"/>
      <c r="RE1" s="3"/>
      <c r="RF1" s="3"/>
      <c r="RG1" s="3"/>
      <c r="RH1" s="3"/>
      <c r="RI1" s="3"/>
      <c r="RJ1" s="3"/>
      <c r="RK1" s="3"/>
      <c r="RL1" s="3"/>
      <c r="RM1" s="3"/>
      <c r="RN1" s="3"/>
      <c r="RO1" s="3"/>
      <c r="RP1" s="3"/>
      <c r="RQ1" s="3"/>
      <c r="RR1" s="3"/>
      <c r="RS1" s="3"/>
      <c r="RT1" s="3"/>
      <c r="RU1" s="3"/>
      <c r="RV1" s="3"/>
      <c r="RW1" s="3"/>
      <c r="RX1" s="3"/>
      <c r="RY1" s="3"/>
      <c r="RZ1" s="3"/>
      <c r="SA1" s="3"/>
      <c r="SB1" s="3"/>
      <c r="SC1" s="3"/>
      <c r="SD1" s="3"/>
      <c r="SE1" s="3"/>
      <c r="SF1" s="3"/>
      <c r="SG1" s="3"/>
      <c r="SH1" s="3"/>
      <c r="SI1" s="3"/>
      <c r="SJ1" s="3"/>
      <c r="SK1" s="3"/>
      <c r="SL1" s="3"/>
      <c r="SM1" s="3"/>
      <c r="SN1" s="3"/>
      <c r="SO1" s="3"/>
      <c r="SP1" s="3"/>
      <c r="SQ1" s="3"/>
      <c r="SR1" s="3"/>
      <c r="SS1" s="3"/>
      <c r="ST1" s="3"/>
      <c r="SU1" s="3"/>
      <c r="SV1" s="3"/>
      <c r="SW1" s="3"/>
      <c r="SX1" s="3"/>
      <c r="SY1" s="3"/>
      <c r="SZ1" s="3"/>
      <c r="TA1" s="3"/>
      <c r="TB1" s="3"/>
      <c r="TC1" s="3"/>
      <c r="TD1" s="3"/>
      <c r="TE1" s="3"/>
      <c r="TF1" s="3"/>
      <c r="TG1" s="3"/>
      <c r="TH1" s="3"/>
      <c r="TI1" s="3"/>
      <c r="TJ1" s="3"/>
      <c r="TK1" s="3"/>
      <c r="TL1" s="3"/>
      <c r="TM1" s="3"/>
      <c r="TN1" s="3"/>
      <c r="TO1" s="3"/>
      <c r="TP1" s="3"/>
      <c r="TQ1" s="3"/>
      <c r="TR1" s="3"/>
      <c r="TS1" s="3"/>
      <c r="TT1" s="3"/>
      <c r="TU1" s="3"/>
      <c r="TV1" s="3"/>
      <c r="TW1" s="3"/>
      <c r="TX1" s="3"/>
      <c r="TY1" s="3"/>
      <c r="TZ1" s="3"/>
      <c r="UA1" s="3"/>
      <c r="UB1" s="3"/>
      <c r="UC1" s="3"/>
      <c r="UD1" s="3"/>
      <c r="UE1" s="3"/>
      <c r="UF1" s="3"/>
      <c r="UG1" s="3"/>
      <c r="UH1" s="3"/>
      <c r="UI1" s="3"/>
      <c r="UJ1" s="3"/>
      <c r="UK1" s="3"/>
      <c r="UL1" s="3"/>
      <c r="UM1" s="3"/>
      <c r="UN1" s="3"/>
      <c r="UO1" s="3"/>
      <c r="UP1" s="3"/>
      <c r="UQ1" s="3"/>
      <c r="UR1" s="3"/>
      <c r="US1" s="3"/>
      <c r="UT1" s="3"/>
      <c r="UU1" s="3"/>
      <c r="UV1" s="3"/>
      <c r="UW1" s="3"/>
      <c r="UX1" s="3"/>
      <c r="UY1" s="3"/>
      <c r="UZ1" s="3"/>
      <c r="VA1" s="3"/>
      <c r="VB1" s="3"/>
      <c r="VC1" s="3"/>
      <c r="VD1" s="3"/>
      <c r="VE1" s="3"/>
      <c r="VF1" s="3"/>
      <c r="VG1" s="3"/>
      <c r="VH1" s="3"/>
      <c r="VI1" s="3"/>
      <c r="VJ1" s="3"/>
      <c r="VK1" s="3"/>
      <c r="VL1" s="3"/>
      <c r="VM1" s="3"/>
      <c r="VN1" s="3"/>
      <c r="VO1" s="3"/>
      <c r="VP1" s="3"/>
      <c r="VQ1" s="3"/>
      <c r="VR1" s="3"/>
      <c r="VS1" s="3"/>
      <c r="VT1" s="3"/>
      <c r="VU1" s="3"/>
      <c r="VV1" s="3"/>
      <c r="VW1" s="3"/>
      <c r="VX1" s="3"/>
      <c r="VY1" s="3"/>
      <c r="VZ1" s="3"/>
      <c r="WA1" s="3"/>
      <c r="WB1" s="3"/>
      <c r="WC1" s="3"/>
      <c r="WD1" s="3"/>
      <c r="WE1" s="3"/>
      <c r="WF1" s="3"/>
      <c r="WG1" s="3"/>
      <c r="WH1" s="3"/>
      <c r="WI1" s="3"/>
      <c r="WJ1" s="3"/>
      <c r="WK1" s="3"/>
      <c r="WL1" s="3"/>
      <c r="WM1" s="3"/>
      <c r="WN1" s="3"/>
      <c r="WO1" s="3"/>
      <c r="WP1" s="3"/>
      <c r="WQ1" s="3"/>
      <c r="WR1" s="3"/>
      <c r="WS1" s="3"/>
      <c r="WT1" s="3"/>
      <c r="WU1" s="3"/>
      <c r="WV1" s="3"/>
      <c r="WW1" s="3"/>
      <c r="WX1" s="3"/>
      <c r="WY1" s="3"/>
      <c r="WZ1" s="3"/>
      <c r="XA1" s="3"/>
      <c r="XB1" s="3"/>
      <c r="XC1" s="3"/>
      <c r="XD1" s="3"/>
      <c r="XE1" s="3"/>
      <c r="XF1" s="3"/>
      <c r="XG1" s="3"/>
      <c r="XH1" s="3"/>
      <c r="XI1" s="3"/>
      <c r="XJ1" s="3"/>
      <c r="XK1" s="3"/>
      <c r="XL1" s="3"/>
      <c r="XM1" s="3"/>
      <c r="XN1" s="3"/>
      <c r="XO1" s="3"/>
      <c r="XP1" s="3"/>
      <c r="XQ1" s="3"/>
      <c r="XR1" s="3"/>
      <c r="XS1" s="3"/>
      <c r="XT1" s="3"/>
      <c r="XU1" s="3"/>
      <c r="XV1" s="3"/>
      <c r="XW1" s="3"/>
      <c r="XX1" s="3"/>
      <c r="XY1" s="3"/>
      <c r="XZ1" s="3"/>
      <c r="YA1" s="3"/>
      <c r="YB1" s="3"/>
      <c r="YC1" s="3"/>
      <c r="YD1" s="3"/>
      <c r="YE1" s="3"/>
      <c r="YF1" s="3"/>
      <c r="YG1" s="3"/>
      <c r="YH1" s="3"/>
      <c r="YI1" s="3"/>
      <c r="YJ1" s="3"/>
      <c r="YK1" s="3"/>
      <c r="YL1" s="3"/>
      <c r="YM1" s="3"/>
      <c r="YN1" s="3"/>
      <c r="YO1" s="3"/>
      <c r="YP1" s="3"/>
      <c r="YQ1" s="3"/>
      <c r="YR1" s="3"/>
      <c r="YS1" s="3"/>
      <c r="YT1" s="3"/>
      <c r="YU1" s="3"/>
      <c r="YV1" s="3"/>
      <c r="YW1" s="3"/>
      <c r="YX1" s="3"/>
      <c r="YY1" s="3"/>
      <c r="YZ1" s="3"/>
      <c r="ZA1" s="3"/>
      <c r="ZB1" s="3"/>
      <c r="ZC1" s="3"/>
      <c r="ZD1" s="3"/>
      <c r="ZE1" s="3"/>
      <c r="ZF1" s="3"/>
      <c r="ZG1" s="3"/>
      <c r="ZH1" s="3"/>
      <c r="ZI1" s="3"/>
      <c r="ZJ1" s="3"/>
      <c r="ZK1" s="3"/>
      <c r="ZL1" s="3"/>
      <c r="ZM1" s="3"/>
      <c r="ZN1" s="3"/>
      <c r="ZO1" s="3"/>
      <c r="ZP1" s="3"/>
      <c r="ZQ1" s="3"/>
      <c r="ZR1" s="3"/>
      <c r="ZS1" s="3"/>
      <c r="ZT1" s="3"/>
      <c r="ZU1" s="3"/>
      <c r="ZV1" s="3"/>
      <c r="ZW1" s="3"/>
      <c r="ZX1" s="3"/>
      <c r="ZY1" s="3"/>
      <c r="ZZ1" s="3"/>
      <c r="AAA1" s="3"/>
      <c r="AAB1" s="3"/>
      <c r="AAC1" s="3"/>
      <c r="AAD1" s="3"/>
      <c r="AAE1" s="3"/>
      <c r="AAF1" s="3"/>
      <c r="AAG1" s="3"/>
      <c r="AAH1" s="3"/>
      <c r="AAI1" s="3"/>
      <c r="AAJ1" s="3"/>
      <c r="AAK1" s="3"/>
      <c r="AAL1" s="3"/>
      <c r="AAM1" s="3"/>
      <c r="AAN1" s="3"/>
      <c r="AAO1" s="3"/>
      <c r="AAP1" s="3"/>
      <c r="AAQ1" s="3"/>
      <c r="AAR1" s="3"/>
      <c r="AAS1" s="3"/>
      <c r="AAT1" s="3"/>
      <c r="AAU1" s="3"/>
      <c r="AAV1" s="3"/>
      <c r="AAW1" s="3"/>
      <c r="AAX1" s="3"/>
      <c r="AAY1" s="3"/>
      <c r="AAZ1" s="3"/>
      <c r="ABA1" s="3"/>
      <c r="ABB1" s="3"/>
      <c r="ABC1" s="3"/>
      <c r="ABD1" s="3"/>
      <c r="ABE1" s="3"/>
      <c r="ABF1" s="3"/>
      <c r="ABG1" s="3"/>
      <c r="ABH1" s="3"/>
      <c r="ABI1" s="3"/>
      <c r="ABJ1" s="3"/>
      <c r="ABK1" s="3"/>
      <c r="ABL1" s="3"/>
      <c r="ABM1" s="3"/>
      <c r="ABN1" s="3"/>
      <c r="ABO1" s="3"/>
      <c r="ABP1" s="3"/>
      <c r="ABQ1" s="3"/>
      <c r="ABR1" s="3"/>
      <c r="ABS1" s="3"/>
      <c r="ABT1" s="3"/>
      <c r="ABU1" s="3"/>
      <c r="ABV1" s="3"/>
      <c r="ABW1" s="3"/>
      <c r="ABX1" s="3"/>
      <c r="ABY1" s="3"/>
      <c r="ABZ1" s="3"/>
      <c r="ACA1" s="3"/>
      <c r="ACB1" s="3"/>
      <c r="ACC1" s="3"/>
      <c r="ACD1" s="3"/>
      <c r="ACE1" s="3"/>
      <c r="ACF1" s="3"/>
      <c r="ACG1" s="3"/>
      <c r="ACH1" s="3"/>
      <c r="ACI1" s="3"/>
      <c r="ACJ1" s="3"/>
      <c r="ACK1" s="3"/>
      <c r="ACL1" s="3"/>
      <c r="ACM1" s="3"/>
      <c r="ACN1" s="3"/>
      <c r="ACO1" s="3"/>
      <c r="ACP1" s="3"/>
      <c r="ACQ1" s="3"/>
      <c r="ACR1" s="3"/>
      <c r="ACS1" s="3"/>
      <c r="ACT1" s="3"/>
      <c r="ACU1" s="3"/>
      <c r="ACV1" s="3"/>
      <c r="ACW1" s="3"/>
      <c r="ACX1" s="3"/>
      <c r="ACY1" s="3"/>
      <c r="ACZ1" s="3"/>
      <c r="ADA1" s="3"/>
      <c r="ADB1" s="3"/>
      <c r="ADC1" s="3"/>
      <c r="ADD1" s="3"/>
      <c r="ADE1" s="3"/>
      <c r="ADF1" s="3"/>
      <c r="ADG1" s="3"/>
      <c r="ADH1" s="3"/>
      <c r="ADI1" s="3"/>
      <c r="ADJ1" s="3"/>
      <c r="ADK1" s="3"/>
      <c r="ADL1" s="3"/>
      <c r="ADM1" s="3"/>
      <c r="ADN1" s="3"/>
      <c r="ADO1" s="3"/>
      <c r="ADP1" s="3"/>
      <c r="ADQ1" s="3"/>
      <c r="ADR1" s="3"/>
      <c r="ADS1" s="3"/>
      <c r="ADT1" s="3"/>
      <c r="ADU1" s="3"/>
      <c r="ADV1" s="3"/>
      <c r="ADW1" s="3"/>
      <c r="ADX1" s="3"/>
      <c r="ADY1" s="3"/>
      <c r="ADZ1" s="3"/>
      <c r="AEA1" s="3"/>
      <c r="AEB1" s="3"/>
      <c r="AEC1" s="3"/>
      <c r="AED1" s="3"/>
      <c r="AEE1" s="3"/>
      <c r="AEF1" s="3"/>
      <c r="AEG1" s="3"/>
      <c r="AEH1" s="3"/>
      <c r="AEI1" s="3"/>
      <c r="AEJ1" s="3"/>
      <c r="AEK1" s="3"/>
      <c r="AEL1" s="3"/>
      <c r="AEM1" s="3"/>
      <c r="AEN1" s="3"/>
      <c r="AEO1" s="3"/>
      <c r="AEP1" s="3"/>
      <c r="AEQ1" s="3"/>
      <c r="AER1" s="3"/>
      <c r="AES1" s="3"/>
      <c r="AET1" s="3"/>
      <c r="AEU1" s="3"/>
      <c r="AEV1" s="3"/>
      <c r="AEW1" s="3"/>
      <c r="AEX1" s="3"/>
      <c r="AEY1" s="3"/>
      <c r="AEZ1" s="3"/>
      <c r="AFA1" s="3"/>
      <c r="AFB1" s="3"/>
      <c r="AFC1" s="3"/>
      <c r="AFD1" s="3"/>
      <c r="AFE1" s="3"/>
      <c r="AFF1" s="3"/>
      <c r="AFG1" s="3"/>
      <c r="AFH1" s="3"/>
      <c r="AFI1" s="3"/>
      <c r="AFJ1" s="3"/>
      <c r="AFK1" s="3"/>
      <c r="AFL1" s="3"/>
      <c r="AFM1" s="3"/>
      <c r="AFN1" s="3"/>
      <c r="AFO1" s="3"/>
      <c r="AFP1" s="3"/>
      <c r="AFQ1" s="3"/>
      <c r="AFR1" s="3"/>
      <c r="AFS1" s="3"/>
      <c r="AFT1" s="3"/>
      <c r="AFU1" s="3"/>
      <c r="AFV1" s="3"/>
      <c r="AFW1" s="3"/>
      <c r="AFX1" s="3"/>
      <c r="AFY1" s="3"/>
      <c r="AFZ1" s="3"/>
      <c r="AGA1" s="3"/>
      <c r="AGB1" s="3"/>
      <c r="AGC1" s="3"/>
      <c r="AGD1" s="3"/>
      <c r="AGE1" s="3"/>
      <c r="AGF1" s="3"/>
      <c r="AGG1" s="3"/>
      <c r="AGH1" s="3"/>
      <c r="AGI1" s="3"/>
      <c r="AGJ1" s="3"/>
      <c r="AGK1" s="3"/>
      <c r="AGL1" s="3"/>
      <c r="AGM1" s="3"/>
      <c r="AGN1" s="3"/>
      <c r="AGO1" s="3"/>
      <c r="AGP1" s="3"/>
      <c r="AGQ1" s="3"/>
      <c r="AGR1" s="3"/>
      <c r="AGS1" s="3"/>
      <c r="AGT1" s="3"/>
      <c r="AGU1" s="3"/>
      <c r="AGV1" s="3"/>
      <c r="AGW1" s="3"/>
      <c r="AGX1" s="3"/>
      <c r="AGY1" s="3"/>
      <c r="AGZ1" s="3"/>
      <c r="AHA1" s="3"/>
      <c r="AHB1" s="3"/>
      <c r="AHC1" s="3"/>
      <c r="AHD1" s="3"/>
      <c r="AHE1" s="3"/>
      <c r="AHF1" s="3"/>
      <c r="AHG1" s="3"/>
      <c r="AHH1" s="3"/>
      <c r="AHI1" s="3"/>
      <c r="AHJ1" s="3"/>
      <c r="AHK1" s="3"/>
      <c r="AHL1" s="3"/>
      <c r="AHM1" s="3"/>
      <c r="AHN1" s="3"/>
      <c r="AHO1" s="3"/>
      <c r="AHP1" s="3"/>
      <c r="AHQ1" s="3"/>
      <c r="AHR1" s="3"/>
      <c r="AHS1" s="3"/>
      <c r="AHT1" s="3"/>
      <c r="AHU1" s="3"/>
      <c r="AHV1" s="3"/>
      <c r="AHW1" s="3"/>
      <c r="AHX1" s="3"/>
      <c r="AHY1" s="3"/>
      <c r="AHZ1" s="3"/>
      <c r="AIA1" s="3"/>
      <c r="AIB1" s="3"/>
      <c r="AIC1" s="3"/>
      <c r="AID1" s="3"/>
      <c r="AIE1" s="3"/>
      <c r="AIF1" s="3"/>
      <c r="AIG1" s="3"/>
      <c r="AIH1" s="3"/>
      <c r="AII1" s="3"/>
      <c r="AIJ1" s="3"/>
      <c r="AIK1" s="3"/>
      <c r="AIL1" s="3"/>
      <c r="AIM1" s="3"/>
      <c r="AIN1" s="3"/>
      <c r="AIO1" s="3"/>
      <c r="AIP1" s="3"/>
      <c r="AIQ1" s="3"/>
      <c r="AIR1" s="3"/>
      <c r="AIS1" s="3"/>
      <c r="AIT1" s="3"/>
      <c r="AIU1" s="3"/>
      <c r="AIV1" s="3"/>
      <c r="AIW1" s="3"/>
      <c r="AIX1" s="3"/>
      <c r="AIY1" s="3"/>
      <c r="AIZ1" s="3"/>
      <c r="AJA1" s="3"/>
      <c r="AJB1" s="3"/>
      <c r="AJC1" s="3"/>
      <c r="AJD1" s="3"/>
      <c r="AJE1" s="3"/>
      <c r="AJF1" s="3"/>
      <c r="AJG1" s="3"/>
      <c r="AJH1" s="3"/>
      <c r="AJI1" s="3"/>
      <c r="AJJ1" s="3"/>
      <c r="AJK1" s="3"/>
      <c r="AJL1" s="3"/>
      <c r="AJM1" s="3"/>
      <c r="AJN1" s="3"/>
      <c r="AJO1" s="3"/>
      <c r="AJP1" s="3"/>
      <c r="AJQ1" s="3"/>
      <c r="AJR1" s="3"/>
      <c r="AJS1" s="3"/>
      <c r="AJT1" s="3"/>
      <c r="AJU1" s="3"/>
      <c r="AJV1" s="3"/>
      <c r="AJW1" s="3"/>
      <c r="AJX1" s="3"/>
      <c r="AJY1" s="3"/>
      <c r="AJZ1" s="3"/>
      <c r="AKA1" s="3"/>
      <c r="AKB1" s="3"/>
      <c r="AKC1" s="3"/>
      <c r="AKD1" s="3"/>
      <c r="AKE1" s="3"/>
      <c r="AKF1" s="3"/>
      <c r="AKG1" s="3"/>
      <c r="AKH1" s="3"/>
      <c r="AKI1" s="3"/>
      <c r="AKJ1" s="3"/>
      <c r="AKK1" s="3"/>
      <c r="AKL1" s="3"/>
      <c r="AKM1" s="3"/>
      <c r="AKN1" s="3"/>
      <c r="AKO1" s="3"/>
      <c r="AKP1" s="3"/>
      <c r="AKQ1" s="3"/>
      <c r="AKR1" s="3"/>
      <c r="AKS1" s="3"/>
      <c r="AKT1" s="3"/>
      <c r="AKU1" s="3"/>
      <c r="AKV1" s="3"/>
      <c r="AKW1" s="3"/>
      <c r="AKX1" s="3"/>
      <c r="AKY1" s="3"/>
      <c r="AKZ1" s="3"/>
      <c r="ALA1" s="3"/>
      <c r="ALB1" s="3"/>
      <c r="ALC1" s="3"/>
      <c r="ALD1" s="3"/>
      <c r="ALE1" s="3"/>
      <c r="ALF1" s="3"/>
      <c r="ALG1" s="3"/>
      <c r="ALH1" s="3"/>
      <c r="ALI1" s="3"/>
      <c r="ALJ1" s="3"/>
      <c r="ALK1" s="3"/>
      <c r="ALL1" s="3"/>
      <c r="ALM1" s="3"/>
      <c r="ALN1" s="3"/>
      <c r="ALO1" s="3"/>
      <c r="ALP1" s="3"/>
      <c r="ALQ1" s="3"/>
      <c r="ALR1" s="3"/>
      <c r="ALS1" s="3"/>
      <c r="ALT1" s="3"/>
      <c r="ALU1" s="3"/>
      <c r="ALV1" s="3"/>
      <c r="ALW1" s="3"/>
      <c r="ALX1" s="3"/>
      <c r="ALY1" s="3"/>
      <c r="ALZ1" s="3"/>
      <c r="AMA1" s="3"/>
      <c r="AMB1" s="3"/>
      <c r="AMC1" s="3"/>
      <c r="AMD1" s="3"/>
      <c r="AME1" s="3"/>
      <c r="AMF1" s="3"/>
      <c r="AMG1" s="3"/>
      <c r="AMH1" s="3"/>
      <c r="AMI1" s="1"/>
      <c r="AMJ1" s="1"/>
    </row>
    <row r="2" customFormat="false" ht="12.8" hidden="false" customHeight="false" outlineLevel="0" collapsed="false">
      <c r="A2" s="1" t="s">
        <v>28</v>
      </c>
      <c r="B2" s="8" t="n">
        <v>2500</v>
      </c>
      <c r="C2" s="9" t="n">
        <f aca="false">B2</f>
        <v>2500</v>
      </c>
      <c r="D2" s="10"/>
      <c r="F2" s="1" t="s">
        <v>29</v>
      </c>
      <c r="G2" s="11" t="n">
        <v>0.24</v>
      </c>
    </row>
    <row r="3" customFormat="false" ht="12.8" hidden="false" customHeight="false" outlineLevel="0" collapsed="false">
      <c r="A3" s="1" t="s">
        <v>66</v>
      </c>
      <c r="B3" s="12" t="n">
        <v>92</v>
      </c>
      <c r="E3" s="1" t="s">
        <v>31</v>
      </c>
      <c r="F3" s="1" t="s">
        <v>32</v>
      </c>
      <c r="G3" s="10" t="n">
        <f aca="false">ROUND($B$2*G$2,2)</f>
        <v>600</v>
      </c>
    </row>
    <row r="4" customFormat="false" ht="12.8" hidden="false" customHeight="false" outlineLevel="0" collapsed="false">
      <c r="A4" s="1" t="s">
        <v>36</v>
      </c>
      <c r="B4" s="9" t="n">
        <f aca="false">ROUND($G$3*B3/Intro!$N$1,2)</f>
        <v>151.23</v>
      </c>
      <c r="C4" s="9" t="n">
        <f aca="false">ROUND(C2-B4,2)</f>
        <v>2348.77</v>
      </c>
      <c r="D4" s="10"/>
      <c r="E4" s="1" t="s">
        <v>86</v>
      </c>
    </row>
    <row r="5" customFormat="false" ht="12.8" hidden="false" customHeight="false" outlineLevel="0" collapsed="false">
      <c r="A5" s="1" t="s">
        <v>87</v>
      </c>
      <c r="B5" s="12" t="n">
        <v>212</v>
      </c>
      <c r="C5" s="9"/>
      <c r="D5" s="10"/>
      <c r="E5" s="1" t="s">
        <v>39</v>
      </c>
      <c r="G5" s="27"/>
    </row>
    <row r="6" customFormat="false" ht="12.8" hidden="false" customHeight="false" outlineLevel="0" collapsed="false">
      <c r="A6" s="1" t="s">
        <v>88</v>
      </c>
      <c r="B6" s="9" t="n">
        <f aca="false">ROUND($G$3*B5/Intro!$N$2,2)</f>
        <v>348.49</v>
      </c>
      <c r="C6" s="9" t="n">
        <f aca="false">ROUND(C4-B6,2)</f>
        <v>2000.28</v>
      </c>
      <c r="D6" s="10"/>
      <c r="E6" s="1" t="s">
        <v>89</v>
      </c>
      <c r="G6" s="27"/>
    </row>
    <row r="7" customFormat="false" ht="12.8" hidden="false" customHeight="false" outlineLevel="0" collapsed="false">
      <c r="A7" s="1" t="s">
        <v>90</v>
      </c>
      <c r="B7" s="9"/>
      <c r="C7" s="9" t="n">
        <f aca="false">ROUND(C6*G7,2)</f>
        <v>400.06</v>
      </c>
      <c r="D7" s="10"/>
      <c r="E7" s="1" t="s">
        <v>91</v>
      </c>
      <c r="F7" s="1" t="s">
        <v>35</v>
      </c>
      <c r="G7" s="13" t="n">
        <v>0.2</v>
      </c>
    </row>
    <row r="8" customFormat="false" ht="12.8" hidden="false" customHeight="false" outlineLevel="0" collapsed="false">
      <c r="A8" s="1" t="s">
        <v>43</v>
      </c>
      <c r="B8" s="8" t="n">
        <v>525</v>
      </c>
      <c r="C8" s="9" t="n">
        <f aca="false">ROUND(C2-C7,2)</f>
        <v>2099.94</v>
      </c>
      <c r="D8" s="10"/>
      <c r="F8" s="1" t="s">
        <v>92</v>
      </c>
      <c r="G8" s="10" t="n">
        <f aca="false">ROUND((C2-C7)*G$2,0)</f>
        <v>504</v>
      </c>
    </row>
    <row r="9" customFormat="false" ht="12.8" hidden="false" customHeight="false" outlineLevel="0" collapsed="false">
      <c r="A9" s="1" t="s">
        <v>93</v>
      </c>
      <c r="B9" s="8" t="n">
        <f aca="false">ROUND(B8-C7,2)</f>
        <v>124.94</v>
      </c>
      <c r="C9" s="9"/>
      <c r="D9" s="10"/>
      <c r="G9" s="10"/>
    </row>
    <row r="10" customFormat="false" ht="12.8" hidden="false" customHeight="false" outlineLevel="0" collapsed="false">
      <c r="A10" s="1" t="s">
        <v>94</v>
      </c>
      <c r="B10" s="28" t="n">
        <f aca="false">Intro!$N$2-B5</f>
        <v>153</v>
      </c>
      <c r="C10" s="9"/>
      <c r="D10" s="10"/>
      <c r="I10" s="4"/>
    </row>
    <row r="11" customFormat="false" ht="12.8" hidden="false" customHeight="false" outlineLevel="0" collapsed="false">
      <c r="A11" s="1" t="s">
        <v>95</v>
      </c>
      <c r="B11" s="9" t="n">
        <f aca="false">ROUND($G$8*B10/Intro!$N$2,2) - 0.01</f>
        <v>211.26</v>
      </c>
      <c r="C11" s="9" t="n">
        <f aca="false">ROUND(C8-B11,2)</f>
        <v>1888.68</v>
      </c>
      <c r="D11" s="10"/>
      <c r="E11" s="1" t="s">
        <v>81</v>
      </c>
      <c r="G11" s="13"/>
    </row>
    <row r="12" customFormat="false" ht="12.8" hidden="false" customHeight="false" outlineLevel="0" collapsed="false">
      <c r="A12" s="1" t="s">
        <v>68</v>
      </c>
      <c r="B12" s="9" t="n">
        <f aca="false">ROUND(B6+B11,2)</f>
        <v>559.75</v>
      </c>
      <c r="C12" s="9" t="n">
        <f aca="false">C11</f>
        <v>1888.68</v>
      </c>
      <c r="D12" s="10"/>
      <c r="E12" s="1" t="s">
        <v>37</v>
      </c>
    </row>
    <row r="13" customFormat="false" ht="12.8" hidden="false" customHeight="false" outlineLevel="0" collapsed="false">
      <c r="A13" s="1" t="s">
        <v>40</v>
      </c>
      <c r="B13" s="9" t="n">
        <f aca="false">$G$8</f>
        <v>504</v>
      </c>
      <c r="C13" s="9" t="n">
        <f aca="false">C12-B13</f>
        <v>1384.68</v>
      </c>
      <c r="E13" s="1" t="s">
        <v>41</v>
      </c>
    </row>
    <row r="15" customFormat="false" ht="12.8" hidden="false" customHeight="false" outlineLevel="0" collapsed="false">
      <c r="D15" s="10"/>
    </row>
    <row r="16" customFormat="false" ht="12.8" hidden="false" customHeight="false" outlineLevel="0" collapsed="false">
      <c r="A16" s="1" t="s">
        <v>47</v>
      </c>
      <c r="B16" s="1" t="s">
        <v>48</v>
      </c>
      <c r="C16" s="1" t="s">
        <v>49</v>
      </c>
      <c r="F16" s="1" t="s">
        <v>48</v>
      </c>
      <c r="G16" s="1" t="s">
        <v>49</v>
      </c>
      <c r="H16" s="1" t="s">
        <v>50</v>
      </c>
    </row>
    <row r="17" customFormat="false" ht="12.8" hidden="false" customHeight="false" outlineLevel="0" collapsed="false">
      <c r="E17" s="1" t="s">
        <v>52</v>
      </c>
      <c r="G17" s="10" t="n">
        <f aca="false">$B$2</f>
        <v>2500</v>
      </c>
      <c r="H17" s="10" t="n">
        <f aca="false">F17-G17</f>
        <v>-2500</v>
      </c>
    </row>
    <row r="18" customFormat="false" ht="12.8" hidden="false" customHeight="false" outlineLevel="0" collapsed="false">
      <c r="A18" s="1" t="s">
        <v>53</v>
      </c>
      <c r="E18" s="1" t="s">
        <v>54</v>
      </c>
      <c r="F18" s="10" t="n">
        <f aca="false">$B$2</f>
        <v>2500</v>
      </c>
      <c r="H18" s="10" t="n">
        <f aca="false">F18-G18</f>
        <v>2500</v>
      </c>
    </row>
    <row r="19" customFormat="false" ht="12.8" hidden="false" customHeight="false" outlineLevel="0" collapsed="false">
      <c r="A19" s="1" t="s">
        <v>55</v>
      </c>
      <c r="C19" s="10" t="n">
        <f aca="false">B4</f>
        <v>151.23</v>
      </c>
      <c r="E19" s="1" t="s">
        <v>55</v>
      </c>
      <c r="G19" s="10" t="n">
        <f aca="false">C19</f>
        <v>151.23</v>
      </c>
      <c r="H19" s="10" t="n">
        <f aca="false">F19-G19</f>
        <v>-151.23</v>
      </c>
    </row>
    <row r="20" customFormat="false" ht="12.8" hidden="false" customHeight="false" outlineLevel="0" collapsed="false">
      <c r="A20" s="1" t="s">
        <v>56</v>
      </c>
      <c r="B20" s="9" t="n">
        <f aca="false">B4</f>
        <v>151.23</v>
      </c>
      <c r="E20" s="1" t="s">
        <v>57</v>
      </c>
      <c r="F20" s="10" t="n">
        <f aca="false">B20</f>
        <v>151.23</v>
      </c>
      <c r="H20" s="10" t="n">
        <f aca="false">F20-G20</f>
        <v>151.23</v>
      </c>
    </row>
    <row r="21" customFormat="false" ht="12.8" hidden="false" customHeight="false" outlineLevel="0" collapsed="false">
      <c r="A21" s="14" t="s">
        <v>58</v>
      </c>
      <c r="B21" s="15" t="n">
        <f aca="false">SUM(B18:B20)</f>
        <v>151.23</v>
      </c>
      <c r="C21" s="15" t="n">
        <f aca="false">SUM(C18:C20)</f>
        <v>151.23</v>
      </c>
      <c r="E21" s="3" t="s">
        <v>59</v>
      </c>
      <c r="H21" s="6" t="n">
        <f aca="false">H18+H19</f>
        <v>2348.77</v>
      </c>
    </row>
    <row r="22" customFormat="false" ht="12.8" hidden="false" customHeight="false" outlineLevel="0" collapsed="false">
      <c r="G22" s="10"/>
      <c r="H22" s="10"/>
    </row>
    <row r="23" customFormat="false" ht="12.8" hidden="false" customHeight="false" outlineLevel="0" collapsed="false">
      <c r="A23" s="1" t="s">
        <v>60</v>
      </c>
      <c r="E23" s="1" t="s">
        <v>54</v>
      </c>
      <c r="F23" s="10" t="n">
        <f aca="false">$B$2</f>
        <v>2500</v>
      </c>
      <c r="H23" s="10" t="n">
        <f aca="false">F23-G23</f>
        <v>2500</v>
      </c>
    </row>
    <row r="24" customFormat="false" ht="12.8" hidden="false" customHeight="false" outlineLevel="0" collapsed="false">
      <c r="A24" s="1" t="s">
        <v>55</v>
      </c>
      <c r="C24" s="10" t="n">
        <f aca="false">B12</f>
        <v>559.75</v>
      </c>
      <c r="E24" s="1" t="s">
        <v>55</v>
      </c>
      <c r="G24" s="10" t="n">
        <f aca="false">G19+C24</f>
        <v>710.98</v>
      </c>
      <c r="H24" s="10" t="n">
        <f aca="false">F24-G24</f>
        <v>-710.98</v>
      </c>
    </row>
    <row r="25" customFormat="false" ht="12.8" hidden="false" customHeight="false" outlineLevel="0" collapsed="false">
      <c r="A25" s="1" t="s">
        <v>56</v>
      </c>
      <c r="B25" s="9" t="n">
        <f aca="false">B12</f>
        <v>559.75</v>
      </c>
      <c r="E25" s="1" t="s">
        <v>57</v>
      </c>
      <c r="F25" s="10" t="n">
        <f aca="false">B25</f>
        <v>559.75</v>
      </c>
      <c r="H25" s="10" t="n">
        <f aca="false">F25-G25</f>
        <v>559.75</v>
      </c>
    </row>
    <row r="26" customFormat="false" ht="12.8" hidden="false" customHeight="false" outlineLevel="0" collapsed="false">
      <c r="A26" s="14" t="s">
        <v>58</v>
      </c>
      <c r="B26" s="15" t="n">
        <f aca="false">SUM(B23:B25)</f>
        <v>559.75</v>
      </c>
      <c r="C26" s="15" t="n">
        <f aca="false">SUM(C23:C25)</f>
        <v>559.75</v>
      </c>
      <c r="E26" s="3" t="s">
        <v>59</v>
      </c>
      <c r="H26" s="6" t="n">
        <f aca="false">H23+H24</f>
        <v>1789.02</v>
      </c>
    </row>
    <row r="28" customFormat="false" ht="12.8" hidden="false" customHeight="false" outlineLevel="0" collapsed="false">
      <c r="A28" s="1" t="s">
        <v>61</v>
      </c>
      <c r="E28" s="1" t="s">
        <v>54</v>
      </c>
      <c r="F28" s="10" t="n">
        <f aca="false">$B$2</f>
        <v>2500</v>
      </c>
      <c r="H28" s="10" t="n">
        <f aca="false">F28-G28</f>
        <v>2500</v>
      </c>
    </row>
    <row r="29" customFormat="false" ht="12.8" hidden="false" customHeight="false" outlineLevel="0" collapsed="false">
      <c r="A29" s="1" t="s">
        <v>55</v>
      </c>
      <c r="C29" s="10" t="n">
        <f aca="false">B13</f>
        <v>504</v>
      </c>
      <c r="E29" s="1" t="s">
        <v>55</v>
      </c>
      <c r="G29" s="10" t="n">
        <f aca="false">G24+C29</f>
        <v>1214.98</v>
      </c>
      <c r="H29" s="10" t="n">
        <f aca="false">F29-G29</f>
        <v>-1214.98</v>
      </c>
    </row>
    <row r="30" customFormat="false" ht="12.8" hidden="false" customHeight="false" outlineLevel="0" collapsed="false">
      <c r="A30" s="1" t="s">
        <v>56</v>
      </c>
      <c r="B30" s="9" t="n">
        <f aca="false">B13</f>
        <v>504</v>
      </c>
      <c r="E30" s="1" t="s">
        <v>57</v>
      </c>
      <c r="F30" s="10" t="n">
        <f aca="false">B30</f>
        <v>504</v>
      </c>
      <c r="H30" s="10" t="n">
        <f aca="false">F30-G30</f>
        <v>504</v>
      </c>
    </row>
    <row r="31" customFormat="false" ht="12.8" hidden="false" customHeight="false" outlineLevel="0" collapsed="false">
      <c r="A31" s="14" t="s">
        <v>58</v>
      </c>
      <c r="B31" s="15" t="n">
        <f aca="false">SUM(B28:B30)</f>
        <v>504</v>
      </c>
      <c r="C31" s="15" t="n">
        <f aca="false">SUM(C28:C30)</f>
        <v>504</v>
      </c>
      <c r="E31" s="3" t="s">
        <v>59</v>
      </c>
      <c r="H31" s="6" t="n">
        <f aca="false">H28+H29</f>
        <v>1285.02</v>
      </c>
    </row>
    <row r="32" customFormat="false" ht="12.8" hidden="false" customHeight="false" outlineLevel="0" collapsed="false">
      <c r="A32" s="14"/>
      <c r="B32" s="15"/>
      <c r="C32" s="15"/>
    </row>
    <row r="33" customFormat="false" ht="12.8" hidden="false" customHeight="false" outlineLevel="0" collapsed="false">
      <c r="A33" s="1" t="s">
        <v>62</v>
      </c>
      <c r="E33" s="1" t="s">
        <v>54</v>
      </c>
      <c r="F33" s="10" t="n">
        <f aca="false">$B$2</f>
        <v>2500</v>
      </c>
      <c r="G33" s="10" t="e">
        <f aca="false">C35</f>
        <v>#REF!</v>
      </c>
      <c r="H33" s="10" t="e">
        <f aca="false">F33-G33</f>
        <v>#REF!</v>
      </c>
    </row>
    <row r="34" customFormat="false" ht="12.8" hidden="false" customHeight="false" outlineLevel="0" collapsed="false">
      <c r="A34" s="1" t="s">
        <v>63</v>
      </c>
      <c r="B34" s="10" t="e">
        <f aca="false">#REF!</f>
        <v>#REF!</v>
      </c>
      <c r="C34" s="10"/>
      <c r="E34" s="1" t="s">
        <v>55</v>
      </c>
      <c r="G34" s="10" t="n">
        <f aca="false">G29</f>
        <v>1214.98</v>
      </c>
      <c r="H34" s="10" t="n">
        <f aca="false">F34-G34</f>
        <v>-1214.98</v>
      </c>
    </row>
    <row r="35" customFormat="false" ht="12.8" hidden="false" customHeight="false" outlineLevel="0" collapsed="false">
      <c r="A35" s="1" t="s">
        <v>54</v>
      </c>
      <c r="B35" s="10"/>
      <c r="C35" s="10" t="e">
        <f aca="false">#REF!</f>
        <v>#REF!</v>
      </c>
      <c r="E35" s="1" t="s">
        <v>57</v>
      </c>
      <c r="F35" s="10" t="n">
        <f aca="false">B35</f>
        <v>0</v>
      </c>
      <c r="H35" s="10" t="n">
        <f aca="false">F35-G35</f>
        <v>0</v>
      </c>
    </row>
    <row r="36" customFormat="false" ht="12.8" hidden="false" customHeight="false" outlineLevel="0" collapsed="false">
      <c r="A36" s="14" t="s">
        <v>58</v>
      </c>
      <c r="B36" s="15" t="e">
        <f aca="false">SUM(B33:B35)</f>
        <v>#REF!</v>
      </c>
      <c r="C36" s="15" t="e">
        <f aca="false">SUM(C33:C35)</f>
        <v>#REF!</v>
      </c>
      <c r="E36" s="3" t="s">
        <v>59</v>
      </c>
      <c r="H36" s="6" t="e">
        <f aca="false">H33+H34</f>
        <v>#REF!</v>
      </c>
      <c r="I36" s="10"/>
    </row>
    <row r="38" customFormat="false" ht="12.8" hidden="false" customHeight="false" outlineLevel="0" collapsed="false">
      <c r="A38" s="1" t="s">
        <v>42</v>
      </c>
      <c r="E38" s="1" t="s">
        <v>54</v>
      </c>
      <c r="F38" s="10" t="e">
        <f aca="false">F33+B39</f>
        <v>#REF!</v>
      </c>
      <c r="G38" s="10" t="e">
        <f aca="false">G33+C42</f>
        <v>#REF!</v>
      </c>
      <c r="H38" s="10" t="e">
        <f aca="false">F38-G38</f>
        <v>#REF!</v>
      </c>
    </row>
    <row r="39" customFormat="false" ht="12.8" hidden="false" customHeight="false" outlineLevel="0" collapsed="false">
      <c r="A39" s="1" t="s">
        <v>54</v>
      </c>
      <c r="B39" s="10" t="e">
        <f aca="false">#REF!-G29*G7</f>
        <v>#REF!</v>
      </c>
      <c r="C39" s="10"/>
      <c r="E39" s="1" t="s">
        <v>55</v>
      </c>
      <c r="F39" s="10" t="n">
        <f aca="false">F29+B41</f>
        <v>242.996</v>
      </c>
      <c r="G39" s="10" t="n">
        <f aca="false">G29</f>
        <v>1214.98</v>
      </c>
      <c r="H39" s="10" t="n">
        <f aca="false">F39-G39</f>
        <v>-971.984</v>
      </c>
    </row>
    <row r="40" customFormat="false" ht="12.8" hidden="false" customHeight="false" outlineLevel="0" collapsed="false">
      <c r="A40" s="1" t="s">
        <v>45</v>
      </c>
      <c r="B40" s="10"/>
      <c r="C40" s="9" t="e">
        <f aca="false">#REF!</f>
        <v>#REF!</v>
      </c>
      <c r="E40" s="1" t="s">
        <v>57</v>
      </c>
      <c r="F40" s="10" t="n">
        <f aca="false">B40</f>
        <v>0</v>
      </c>
      <c r="H40" s="10" t="n">
        <f aca="false">F40-G40</f>
        <v>0</v>
      </c>
    </row>
    <row r="41" customFormat="false" ht="12.8" hidden="false" customHeight="false" outlineLevel="0" collapsed="false">
      <c r="A41" s="1" t="s">
        <v>55</v>
      </c>
      <c r="B41" s="10" t="n">
        <f aca="false">G29*G7</f>
        <v>242.996</v>
      </c>
      <c r="C41" s="10"/>
      <c r="E41" s="1" t="s">
        <v>45</v>
      </c>
      <c r="F41" s="10"/>
      <c r="G41" s="10" t="e">
        <f aca="false">C40</f>
        <v>#REF!</v>
      </c>
      <c r="H41" s="10" t="e">
        <f aca="false">F41-G41</f>
        <v>#REF!</v>
      </c>
    </row>
    <row r="42" customFormat="false" ht="12.8" hidden="false" customHeight="false" outlineLevel="0" collapsed="false">
      <c r="A42" s="1" t="s">
        <v>54</v>
      </c>
      <c r="B42" s="10"/>
      <c r="C42" s="10" t="n">
        <v>0</v>
      </c>
      <c r="E42" s="3" t="s">
        <v>59</v>
      </c>
      <c r="H42" s="6" t="e">
        <f aca="false">H38+H39</f>
        <v>#REF!</v>
      </c>
    </row>
    <row r="43" customFormat="false" ht="12.8" hidden="false" customHeight="false" outlineLevel="0" collapsed="false">
      <c r="A43" s="14" t="s">
        <v>58</v>
      </c>
      <c r="B43" s="15" t="e">
        <f aca="false">SUM(B38:B42)</f>
        <v>#REF!</v>
      </c>
      <c r="C43" s="15" t="e">
        <f aca="false">SUM(C38:C42)</f>
        <v>#REF!</v>
      </c>
    </row>
    <row r="45" customFormat="false" ht="12.8" hidden="false" customHeight="false" outlineLevel="0" collapsed="false">
      <c r="A45" s="1" t="s">
        <v>64</v>
      </c>
    </row>
    <row r="46" customFormat="false" ht="12.8" hidden="false" customHeight="false" outlineLevel="0" collapsed="false">
      <c r="A46" s="1" t="s">
        <v>54</v>
      </c>
      <c r="B46" s="10"/>
      <c r="C46" s="10" t="e">
        <f aca="false">C35-B39</f>
        <v>#REF!</v>
      </c>
      <c r="E46" s="1" t="s">
        <v>54</v>
      </c>
      <c r="F46" s="10" t="n">
        <f aca="false">F28</f>
        <v>2500</v>
      </c>
      <c r="G46" s="10" t="e">
        <f aca="false">G28+C46</f>
        <v>#REF!</v>
      </c>
      <c r="H46" s="10" t="e">
        <f aca="false">F46-G46</f>
        <v>#REF!</v>
      </c>
    </row>
    <row r="47" customFormat="false" ht="12.8" hidden="false" customHeight="false" outlineLevel="0" collapsed="false">
      <c r="A47" s="1" t="s">
        <v>45</v>
      </c>
      <c r="B47" s="10"/>
      <c r="C47" s="9" t="e">
        <f aca="false">C40</f>
        <v>#REF!</v>
      </c>
      <c r="E47" s="1" t="s">
        <v>55</v>
      </c>
      <c r="F47" s="10" t="n">
        <f aca="false">F29+B48</f>
        <v>242.996</v>
      </c>
      <c r="G47" s="10" t="n">
        <f aca="false">G29</f>
        <v>1214.98</v>
      </c>
      <c r="H47" s="10" t="n">
        <f aca="false">F47-G47</f>
        <v>-971.984</v>
      </c>
    </row>
    <row r="48" customFormat="false" ht="12.8" hidden="false" customHeight="false" outlineLevel="0" collapsed="false">
      <c r="A48" s="1" t="s">
        <v>55</v>
      </c>
      <c r="B48" s="10" t="n">
        <f aca="false">B41</f>
        <v>242.996</v>
      </c>
      <c r="C48" s="10"/>
      <c r="E48" s="1" t="s">
        <v>57</v>
      </c>
      <c r="F48" s="10" t="n">
        <v>0</v>
      </c>
      <c r="H48" s="10" t="n">
        <f aca="false">F48-G48</f>
        <v>0</v>
      </c>
    </row>
    <row r="49" customFormat="false" ht="12.8" hidden="false" customHeight="false" outlineLevel="0" collapsed="false">
      <c r="A49" s="1" t="s">
        <v>65</v>
      </c>
      <c r="B49" s="10" t="e">
        <f aca="false">#REF!</f>
        <v>#REF!</v>
      </c>
      <c r="C49" s="10"/>
      <c r="F49" s="10"/>
      <c r="H49" s="10"/>
    </row>
    <row r="50" customFormat="false" ht="12.8" hidden="false" customHeight="false" outlineLevel="0" collapsed="false">
      <c r="A50" s="14" t="s">
        <v>58</v>
      </c>
      <c r="B50" s="15" t="e">
        <f aca="false">SUM(B45:B49)</f>
        <v>#REF!</v>
      </c>
      <c r="C50" s="15" t="e">
        <f aca="false">SUM(C45:C49)</f>
        <v>#REF!</v>
      </c>
      <c r="E50" s="1" t="s">
        <v>45</v>
      </c>
      <c r="F50" s="10"/>
      <c r="G50" s="10" t="e">
        <f aca="false">C47</f>
        <v>#REF!</v>
      </c>
      <c r="H50" s="10" t="e">
        <f aca="false">F50-G50</f>
        <v>#REF!</v>
      </c>
    </row>
    <row r="51" customFormat="false" ht="12.8" hidden="false" customHeight="false" outlineLevel="0" collapsed="false">
      <c r="E51" s="3" t="s">
        <v>59</v>
      </c>
      <c r="H51" s="6" t="e">
        <f aca="false">H46+H47</f>
        <v>#REF!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&amp;CPagina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9" activeCellId="0" sqref="A9"/>
    </sheetView>
  </sheetViews>
  <sheetFormatPr defaultColWidth="11.53515625" defaultRowHeight="12.8" zeroHeight="false" outlineLevelRow="0" outlineLevelCol="0"/>
  <cols>
    <col collapsed="false" customWidth="true" hidden="false" outlineLevel="0" max="1" min="1" style="30" width="32.41"/>
    <col collapsed="false" customWidth="false" hidden="false" outlineLevel="0" max="2" min="2" style="30" width="11.53"/>
  </cols>
  <sheetData>
    <row r="1" customFormat="false" ht="12.8" hidden="false" customHeight="false" outlineLevel="0" collapsed="false">
      <c r="A1" s="30" t="s">
        <v>96</v>
      </c>
      <c r="B1" s="30" t="s">
        <v>97</v>
      </c>
    </row>
    <row r="2" customFormat="false" ht="12.8" hidden="false" customHeight="false" outlineLevel="0" collapsed="false">
      <c r="A2" s="30" t="s">
        <v>98</v>
      </c>
      <c r="B2" s="31" t="n">
        <f aca="false">'Completo #1'!$B$2</f>
        <v>1000</v>
      </c>
    </row>
    <row r="3" customFormat="false" ht="12.8" hidden="false" customHeight="false" outlineLevel="0" collapsed="false">
      <c r="A3" s="30" t="s">
        <v>99</v>
      </c>
      <c r="B3" s="31" t="n">
        <f aca="false">'Completo #1'!$B$4</f>
        <v>125</v>
      </c>
    </row>
    <row r="4" customFormat="false" ht="12.8" hidden="false" customHeight="false" outlineLevel="0" collapsed="false">
      <c r="A4" s="30" t="s">
        <v>100</v>
      </c>
      <c r="B4" s="31" t="n">
        <f aca="false">B3</f>
        <v>125</v>
      </c>
    </row>
    <row r="5" customFormat="false" ht="12.8" hidden="false" customHeight="false" outlineLevel="0" collapsed="false">
      <c r="A5" s="30" t="s">
        <v>101</v>
      </c>
      <c r="B5" s="31" t="n">
        <f aca="false">'Completo #1'!$C$4</f>
        <v>875</v>
      </c>
    </row>
    <row r="6" customFormat="false" ht="12.8" hidden="false" customHeight="false" outlineLevel="0" collapsed="false">
      <c r="A6" s="30" t="s">
        <v>102</v>
      </c>
      <c r="B6" s="31" t="n">
        <f aca="false">'Completo #1'!$B$5</f>
        <v>250</v>
      </c>
    </row>
    <row r="7" customFormat="false" ht="12.8" hidden="false" customHeight="false" outlineLevel="0" collapsed="false">
      <c r="A7" s="30" t="s">
        <v>103</v>
      </c>
      <c r="B7" s="31" t="n">
        <f aca="false">B4+B6</f>
        <v>375</v>
      </c>
    </row>
    <row r="8" customFormat="false" ht="12.8" hidden="false" customHeight="false" outlineLevel="0" collapsed="false">
      <c r="A8" s="30" t="s">
        <v>104</v>
      </c>
      <c r="B8" s="31" t="n">
        <f aca="false">'Completo #1'!$C$5</f>
        <v>625</v>
      </c>
    </row>
    <row r="11" customFormat="false" ht="12.8" hidden="false" customHeight="false" outlineLevel="0" collapsed="false">
      <c r="A11" s="30" t="s">
        <v>105</v>
      </c>
      <c r="B11" s="30" t="n">
        <v>250</v>
      </c>
    </row>
    <row r="12" customFormat="false" ht="12.8" hidden="false" customHeight="false" outlineLevel="0" collapsed="false">
      <c r="A12" s="30" t="s">
        <v>106</v>
      </c>
      <c r="B12" s="31" t="n">
        <f aca="false">'Completo #2'!$B$2</f>
        <v>2500</v>
      </c>
    </row>
    <row r="13" customFormat="false" ht="12.8" hidden="false" customHeight="false" outlineLevel="0" collapsed="false">
      <c r="A13" s="30" t="s">
        <v>107</v>
      </c>
      <c r="B13" s="31" t="n">
        <f aca="false">'Completo #2'!$B$4</f>
        <v>151.23</v>
      </c>
    </row>
    <row r="14" customFormat="false" ht="12.8" hidden="false" customHeight="false" outlineLevel="0" collapsed="false">
      <c r="A14" s="30" t="s">
        <v>108</v>
      </c>
      <c r="B14" s="31" t="n">
        <f aca="false">B13</f>
        <v>151.23</v>
      </c>
    </row>
    <row r="15" customFormat="false" ht="12.8" hidden="false" customHeight="false" outlineLevel="0" collapsed="false">
      <c r="A15" s="30" t="s">
        <v>109</v>
      </c>
      <c r="B15" s="31" t="n">
        <f aca="false">'Completo #2'!$C$4</f>
        <v>2348.77</v>
      </c>
    </row>
    <row r="16" customFormat="false" ht="12.8" hidden="false" customHeight="false" outlineLevel="0" collapsed="false">
      <c r="A16" s="30" t="s">
        <v>110</v>
      </c>
      <c r="B16" s="31" t="n">
        <f aca="false">'Completo #2'!$B$5</f>
        <v>600</v>
      </c>
    </row>
    <row r="17" customFormat="false" ht="12.8" hidden="false" customHeight="false" outlineLevel="0" collapsed="false">
      <c r="A17" s="30" t="s">
        <v>111</v>
      </c>
      <c r="B17" s="31" t="n">
        <f aca="false">B14+B16</f>
        <v>751.23</v>
      </c>
    </row>
    <row r="18" customFormat="false" ht="12.8" hidden="false" customHeight="false" outlineLevel="0" collapsed="false">
      <c r="A18" s="30" t="s">
        <v>112</v>
      </c>
      <c r="B18" s="31" t="n">
        <f aca="false">'Completo #2'!$C$5</f>
        <v>1748.77</v>
      </c>
    </row>
    <row r="21" customFormat="false" ht="12.8" hidden="false" customHeight="false" outlineLevel="0" collapsed="false">
      <c r="A21" s="30" t="s">
        <v>113</v>
      </c>
      <c r="B21" s="30" t="s">
        <v>97</v>
      </c>
    </row>
    <row r="22" customFormat="false" ht="12.8" hidden="false" customHeight="false" outlineLevel="0" collapsed="false">
      <c r="A22" s="30" t="s">
        <v>114</v>
      </c>
      <c r="B22" s="31" t="n">
        <f aca="false">'Svalutazione #3'!$B$2</f>
        <v>1000</v>
      </c>
    </row>
    <row r="23" customFormat="false" ht="12.8" hidden="false" customHeight="false" outlineLevel="0" collapsed="false">
      <c r="A23" s="30" t="s">
        <v>115</v>
      </c>
      <c r="B23" s="31" t="n">
        <f aca="false">'Svalutazione #3'!$B$4</f>
        <v>125</v>
      </c>
    </row>
    <row r="24" customFormat="false" ht="12.8" hidden="false" customHeight="false" outlineLevel="0" collapsed="false">
      <c r="A24" s="30" t="s">
        <v>116</v>
      </c>
      <c r="B24" s="31" t="n">
        <f aca="false">B23</f>
        <v>125</v>
      </c>
    </row>
    <row r="25" customFormat="false" ht="12.8" hidden="false" customHeight="false" outlineLevel="0" collapsed="false">
      <c r="A25" s="30" t="s">
        <v>117</v>
      </c>
      <c r="B25" s="31" t="n">
        <f aca="false">'Svalutazione #3'!$C$4</f>
        <v>875</v>
      </c>
    </row>
    <row r="26" customFormat="false" ht="12.8" hidden="false" customHeight="false" outlineLevel="0" collapsed="false">
      <c r="A26" s="30" t="s">
        <v>118</v>
      </c>
      <c r="B26" s="31" t="n">
        <f aca="false">'Svalutazione #3'!$B$6</f>
        <v>61.64</v>
      </c>
    </row>
    <row r="27" customFormat="false" ht="12.8" hidden="false" customHeight="false" outlineLevel="0" collapsed="false">
      <c r="A27" s="30" t="s">
        <v>119</v>
      </c>
      <c r="B27" s="31" t="n">
        <f aca="false">B24+B26</f>
        <v>186.64</v>
      </c>
    </row>
    <row r="28" customFormat="false" ht="12.8" hidden="false" customHeight="false" outlineLevel="0" collapsed="false">
      <c r="A28" s="30" t="s">
        <v>120</v>
      </c>
      <c r="B28" s="31" t="n">
        <f aca="false">'Svalutazione #3'!$C$6</f>
        <v>813.36</v>
      </c>
    </row>
    <row r="29" customFormat="false" ht="12.8" hidden="false" customHeight="false" outlineLevel="0" collapsed="false">
      <c r="A29" s="30" t="s">
        <v>121</v>
      </c>
      <c r="B29" s="31" t="n">
        <f aca="false">'Svalutazione #3'!$B$7</f>
        <v>725</v>
      </c>
    </row>
    <row r="30" customFormat="false" ht="12.8" hidden="false" customHeight="false" outlineLevel="0" collapsed="false">
      <c r="A30" s="30" t="s">
        <v>122</v>
      </c>
      <c r="B30" s="31" t="n">
        <f aca="false">'Svalutazione #3'!B9</f>
        <v>51.8</v>
      </c>
    </row>
    <row r="31" customFormat="false" ht="12.8" hidden="false" customHeight="false" outlineLevel="0" collapsed="false">
      <c r="A31" s="30" t="s">
        <v>123</v>
      </c>
      <c r="B31" s="31" t="n">
        <f aca="false">'Svalutazione #3'!D7</f>
        <v>275</v>
      </c>
    </row>
    <row r="32" customFormat="false" ht="12.8" hidden="false" customHeight="false" outlineLevel="0" collapsed="false">
      <c r="A32" s="30" t="s">
        <v>124</v>
      </c>
      <c r="B32" s="31" t="n">
        <f aca="false">'Svalutazione #3'!$C$9</f>
        <v>36.56</v>
      </c>
    </row>
    <row r="33" customFormat="false" ht="12.8" hidden="false" customHeight="false" outlineLevel="0" collapsed="false">
      <c r="A33" s="30" t="s">
        <v>125</v>
      </c>
      <c r="B33" s="31" t="n">
        <f aca="false">B26+B30</f>
        <v>113.44</v>
      </c>
    </row>
    <row r="34" customFormat="false" ht="12.8" hidden="false" customHeight="false" outlineLevel="0" collapsed="false">
      <c r="A34" s="30" t="s">
        <v>126</v>
      </c>
      <c r="B34" s="31" t="n">
        <f aca="false">B23+B26+B30</f>
        <v>238.44</v>
      </c>
    </row>
    <row r="35" customFormat="false" ht="12.8" hidden="false" customHeight="false" outlineLevel="0" collapsed="false">
      <c r="A35" s="30" t="s">
        <v>127</v>
      </c>
      <c r="B35" s="31" t="n">
        <f aca="false">'Svalutazione #3'!$C$9</f>
        <v>36.56</v>
      </c>
    </row>
    <row r="38" customFormat="false" ht="12.8" hidden="false" customHeight="false" outlineLevel="0" collapsed="false">
      <c r="A38" s="30" t="s">
        <v>128</v>
      </c>
      <c r="B38" s="30" t="s">
        <v>97</v>
      </c>
    </row>
    <row r="39" customFormat="false" ht="12.8" hidden="false" customHeight="false" outlineLevel="0" collapsed="false">
      <c r="A39" s="30" t="s">
        <v>129</v>
      </c>
      <c r="B39" s="31" t="n">
        <f aca="false">'Parziale #4'!$B$2</f>
        <v>2500</v>
      </c>
    </row>
    <row r="40" customFormat="false" ht="12.8" hidden="false" customHeight="false" outlineLevel="0" collapsed="false">
      <c r="A40" s="30" t="s">
        <v>130</v>
      </c>
      <c r="B40" s="31" t="n">
        <f aca="false">'Parziale #4'!$B$4</f>
        <v>151.23</v>
      </c>
    </row>
    <row r="41" customFormat="false" ht="12.8" hidden="false" customHeight="false" outlineLevel="0" collapsed="false">
      <c r="A41" s="30" t="s">
        <v>131</v>
      </c>
      <c r="B41" s="31" t="n">
        <f aca="false">B40</f>
        <v>151.23</v>
      </c>
    </row>
    <row r="42" customFormat="false" ht="12.8" hidden="false" customHeight="false" outlineLevel="0" collapsed="false">
      <c r="A42" s="30" t="s">
        <v>132</v>
      </c>
      <c r="B42" s="31" t="n">
        <f aca="false">'Parziale #4'!$C$4</f>
        <v>2348.77</v>
      </c>
    </row>
    <row r="43" customFormat="false" ht="12.8" hidden="false" customHeight="false" outlineLevel="0" collapsed="false">
      <c r="A43" s="30" t="s">
        <v>133</v>
      </c>
      <c r="B43" s="31" t="n">
        <f aca="false">'Parziale #4'!B6</f>
        <v>348.49</v>
      </c>
    </row>
    <row r="44" customFormat="false" ht="12.8" hidden="false" customHeight="false" outlineLevel="0" collapsed="false">
      <c r="A44" s="30" t="s">
        <v>134</v>
      </c>
      <c r="B44" s="31" t="n">
        <f aca="false">B41+B43</f>
        <v>499.72</v>
      </c>
    </row>
    <row r="45" customFormat="false" ht="12.8" hidden="false" customHeight="false" outlineLevel="0" collapsed="false">
      <c r="A45" s="30" t="s">
        <v>135</v>
      </c>
      <c r="B45" s="31" t="n">
        <f aca="false">'Parziale #4'!C6</f>
        <v>2000.28</v>
      </c>
    </row>
    <row r="46" customFormat="false" ht="12.8" hidden="false" customHeight="false" outlineLevel="0" collapsed="false">
      <c r="A46" s="30" t="s">
        <v>136</v>
      </c>
      <c r="B46" s="32" t="n">
        <v>0.2</v>
      </c>
    </row>
    <row r="47" customFormat="false" ht="12.8" hidden="false" customHeight="false" outlineLevel="0" collapsed="false">
      <c r="A47" s="30" t="s">
        <v>137</v>
      </c>
      <c r="B47" s="31" t="n">
        <f aca="false">'Parziale #4'!B8</f>
        <v>525</v>
      </c>
    </row>
    <row r="48" customFormat="false" ht="12.8" hidden="false" customHeight="false" outlineLevel="0" collapsed="false">
      <c r="A48" s="30" t="s">
        <v>138</v>
      </c>
      <c r="B48" s="31" t="n">
        <f aca="false">'Parziale #4'!C7</f>
        <v>400.06</v>
      </c>
    </row>
    <row r="49" customFormat="false" ht="12.8" hidden="false" customHeight="false" outlineLevel="0" collapsed="false">
      <c r="A49" s="30" t="s">
        <v>139</v>
      </c>
      <c r="B49" s="31" t="n">
        <f aca="false">'Parziale #4'!B9</f>
        <v>124.94</v>
      </c>
    </row>
    <row r="50" customFormat="false" ht="12.8" hidden="false" customHeight="false" outlineLevel="0" collapsed="false">
      <c r="A50" s="30" t="s">
        <v>140</v>
      </c>
      <c r="B50" s="31" t="n">
        <f aca="false">'Parziale #4'!B11</f>
        <v>211.26</v>
      </c>
    </row>
    <row r="51" customFormat="false" ht="12.8" hidden="false" customHeight="false" outlineLevel="0" collapsed="false">
      <c r="A51" s="30" t="s">
        <v>141</v>
      </c>
      <c r="B51" s="31" t="n">
        <f aca="false">'Parziale #4'!C11</f>
        <v>1888.68</v>
      </c>
    </row>
    <row r="52" customFormat="false" ht="12.8" hidden="false" customHeight="false" outlineLevel="0" collapsed="false">
      <c r="A52" s="30" t="s">
        <v>142</v>
      </c>
      <c r="B52" s="31" t="n">
        <f aca="false">B44+B50</f>
        <v>710.98</v>
      </c>
    </row>
    <row r="53" customFormat="false" ht="12.8" hidden="false" customHeight="false" outlineLevel="0" collapsed="false">
      <c r="A53" s="30" t="s">
        <v>143</v>
      </c>
      <c r="B53" s="31" t="n">
        <f aca="false">B41+B52</f>
        <v>862.21</v>
      </c>
    </row>
    <row r="54" customFormat="false" ht="12.8" hidden="false" customHeight="false" outlineLevel="0" collapsed="false">
      <c r="A54" s="30" t="s">
        <v>144</v>
      </c>
      <c r="B54" s="31" t="n">
        <f aca="false">'Parziale #4'!C11</f>
        <v>1888.68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Roman,Normale"&amp;12&amp;A</oddHeader>
    <oddFooter>&amp;C&amp;"Times New Roman,Normale"&amp;12Pagina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7322</TotalTime>
  <Application>LibreOffice/7.6.4.1$Windows_X86_64 LibreOffice_project/e19e193f88cd6c0525a17fb7a176ed8e6a3e2aa1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2022-09-16T09:15:31Z</dcterms:created>
  <dc:creator/>
  <dc:description/>
  <dc:language>it-IT</dc:language>
  <cp:lastModifiedBy/>
  <dcterms:modified xsi:type="dcterms:W3CDTF">2023-12-23T16:00:51Z</dcterms:modified>
  <cp:revision>54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
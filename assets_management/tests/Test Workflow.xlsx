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tro" sheetId="1" state="visible" r:id="rId3"/>
    <sheet name="Completo #1" sheetId="2" state="visible" r:id="rId4"/>
    <sheet name="Completo #2" sheetId="3" state="visible" r:id="rId5"/>
    <sheet name="Svalutazione #3" sheetId="4" state="visible" r:id="rId6"/>
    <sheet name="Parziale #4" sheetId="5" state="visible" r:id="rId7"/>
    <sheet name="TestbedValue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<sst xmlns="http://schemas.openxmlformats.org/spreadsheetml/2006/main" count="370" uniqueCount="103">
  <si>
    <t xml:space="preserve">English</t>
  </si>
  <si>
    <t xml:space="preserve">Italiano</t>
  </si>
  <si>
    <t xml:space="preserve"># giorni anno -2</t>
  </si>
  <si>
    <t xml:space="preserve">Current module tests do not run just regression tests but also functional tests.</t>
  </si>
  <si>
    <t xml:space="preserve">Gli attuali test dei moduli non eseguono solo test di regressione ma anche test funzionali.</t>
  </si>
  <si>
    <t xml:space="preserve"># giorni anno -1</t>
  </si>
  <si>
    <t xml:space="preserve">This worksheet contains the workflow of the current module functional tests with test data and expected values.</t>
  </si>
  <si>
    <t xml:space="preserve">Questo foglio di lavoro contiene il flusso di lavoro dei test funzionali del modulo corrente con i dati dei test e i valori attesi.</t>
  </si>
  <si>
    <t xml:space="preserve"># giorni anno 0</t>
  </si>
  <si>
    <t xml:space="preserve">Look at the tabbeds for furthermore info about tests.</t>
  </si>
  <si>
    <t xml:space="preserve">Consulta le schede per ulteriori informazioni sui test.</t>
  </si>
  <si>
    <t xml:space="preserve">Specific notes for this module</t>
  </si>
  <si>
    <t xml:space="preserve">Note specifiche per questo modulo</t>
  </si>
  <si>
    <t xml:space="preserve">The tests are based on 4 goods:</t>
  </si>
  <si>
    <t xml:space="preserve">I test si basano su 4 beni:</t>
  </si>
  <si>
    <t xml:space="preserve"> - 2 have 50% depreciation in 1st year (#1 &amp; #3)</t>
  </si>
  <si>
    <t xml:space="preserve"> - 2 hanno un ammortamento del 50% nel 1° anno (#1 e #3)</t>
  </si>
  <si>
    <t xml:space="preserve"> - 2  have pro-rata-temporis depreciation on 1st year (#2 &amp; #4)</t>
  </si>
  <si>
    <t xml:space="preserve"> - 2 hanno ammortamento pro-rata-temporis al 1° anno (#2 e #4)</t>
  </si>
  <si>
    <t xml:space="preserve"> - 1 with fixed asset write-down (#3)</t>
  </si>
  <si>
    <t xml:space="preserve"> - 1 con svalutazione del bene (#3)</t>
  </si>
  <si>
    <t xml:space="preserve"> - 1 is partial dismissed (#4)</t>
  </si>
  <si>
    <t xml:space="preserve"> - 1 è dismesso parzialmente (#4)</t>
  </si>
  <si>
    <t xml:space="preserve">Descrizione</t>
  </si>
  <si>
    <t xml:space="preserve">Valore</t>
  </si>
  <si>
    <t xml:space="preserve">Residuo</t>
  </si>
  <si>
    <t xml:space="preserve">Note</t>
  </si>
  <si>
    <t xml:space="preserve">Valore iniziale</t>
  </si>
  <si>
    <t xml:space="preserve">% amm</t>
  </si>
  <si>
    <t xml:space="preserve"># giorni anno-2</t>
  </si>
  <si>
    <t xml:space="preserve">Compreso giorno di acquisto</t>
  </si>
  <si>
    <t xml:space="preserve">Q.A.</t>
  </si>
  <si>
    <t xml:space="preserve">QA anno-2</t>
  </si>
  <si>
    <t xml:space="preserve">Quota per 50% anno</t>
  </si>
  <si>
    <t xml:space="preserve">%dism</t>
  </si>
  <si>
    <t xml:space="preserve">QA anno-1</t>
  </si>
  <si>
    <t xml:space="preserve">Quota intero anno</t>
  </si>
  <si>
    <t xml:space="preserve"># giorni anno</t>
  </si>
  <si>
    <t xml:space="preserve">Compreso giorno di vendita</t>
  </si>
  <si>
    <t xml:space="preserve">QA anno</t>
  </si>
  <si>
    <t xml:space="preserve">Quota alla data di vendita</t>
  </si>
  <si>
    <t xml:space="preserve">Dismissione totale</t>
  </si>
  <si>
    <t xml:space="preserve">Prezzo vendita</t>
  </si>
  <si>
    <t xml:space="preserve">Da fattura di vendita</t>
  </si>
  <si>
    <t xml:space="preserve">Plusvalenza</t>
  </si>
  <si>
    <t xml:space="preserve">Plusvalenza perché venduto &gt; dismissione</t>
  </si>
  <si>
    <t xml:space="preserve">Registrazioni contabili</t>
  </si>
  <si>
    <t xml:space="preserve">Dare</t>
  </si>
  <si>
    <t xml:space="preserve">Avere</t>
  </si>
  <si>
    <t xml:space="preserve">Saldo</t>
  </si>
  <si>
    <t xml:space="preserve">Da calcolo bene</t>
  </si>
  <si>
    <t xml:space="preserve">Fornitore</t>
  </si>
  <si>
    <t xml:space="preserve">Ammortamento anno-2</t>
  </si>
  <si>
    <t xml:space="preserve">Bene</t>
  </si>
  <si>
    <t xml:space="preserve">Fondo</t>
  </si>
  <si>
    <t xml:space="preserve">QA </t>
  </si>
  <si>
    <t xml:space="preserve">QA</t>
  </si>
  <si>
    <t xml:space="preserve">controllo</t>
  </si>
  <si>
    <t xml:space="preserve">Valore residuo del bene</t>
  </si>
  <si>
    <t xml:space="preserve">Ammortamento anno-1</t>
  </si>
  <si>
    <t xml:space="preserve">Ammortamento anno</t>
  </si>
  <si>
    <t xml:space="preserve">Fattura di dismissione</t>
  </si>
  <si>
    <t xml:space="preserve">Cliente</t>
  </si>
  <si>
    <t xml:space="preserve">Dismissione senza fattura</t>
  </si>
  <si>
    <t xml:space="preserve">Transitorio</t>
  </si>
  <si>
    <t xml:space="preserve">50% dei giorni</t>
  </si>
  <si>
    <t xml:space="preserve">Ammortamento 2020</t>
  </si>
  <si>
    <t xml:space="preserve">Ammortamento 2021</t>
  </si>
  <si>
    <t xml:space="preserve">Ammortamento 2022</t>
  </si>
  <si>
    <t xml:space="preserve">Valore bene</t>
  </si>
  <si>
    <t xml:space="preserve"># giorni 2020</t>
  </si>
  <si>
    <t xml:space="preserve">QA 2020</t>
  </si>
  <si>
    <t xml:space="preserve"># giorni 2021</t>
  </si>
  <si>
    <t xml:space="preserve">QA 2021</t>
  </si>
  <si>
    <t xml:space="preserve">Quota 90 giorni</t>
  </si>
  <si>
    <t xml:space="preserve">Svalutazione</t>
  </si>
  <si>
    <t xml:space="preserve">Q.A. dopo svalutaz,</t>
  </si>
  <si>
    <t xml:space="preserve"># giorni residui 2021</t>
  </si>
  <si>
    <t xml:space="preserve">QA 2021 residua</t>
  </si>
  <si>
    <t xml:space="preserve">Quota 275 giorni</t>
  </si>
  <si>
    <t xml:space="preserve"># giorni 2022</t>
  </si>
  <si>
    <t xml:space="preserve">QA 2022</t>
  </si>
  <si>
    <t xml:space="preserve">Minusvalenza</t>
  </si>
  <si>
    <t xml:space="preserve">Ammortamento 2021 residuo</t>
  </si>
  <si>
    <t xml:space="preserve">Quota per 92 giorni</t>
  </si>
  <si>
    <t xml:space="preserve">Dismissione parziale 20%</t>
  </si>
  <si>
    <t xml:space="preserve">asset_1.initial_amount</t>
  </si>
  <si>
    <t xml:space="preserve">100.0</t>
  </si>
  <si>
    <t xml:space="preserve">asset_1.purchase_amount</t>
  </si>
  <si>
    <t xml:space="preserve">asset_1.depreciation_amount[1]</t>
  </si>
  <si>
    <t xml:space="preserve">asset_1.depreciated_amount[-1]</t>
  </si>
  <si>
    <t xml:space="preserve">asset_2.initial_amount</t>
  </si>
  <si>
    <t xml:space="preserve">asset_2.purchase_amount</t>
  </si>
  <si>
    <t xml:space="preserve">asset_2.depreciation_amount[1]</t>
  </si>
  <si>
    <t xml:space="preserve">asset_2.depreciated_amount[-1]</t>
  </si>
  <si>
    <t xml:space="preserve">asset_3.initial_amount</t>
  </si>
  <si>
    <t xml:space="preserve">asset_3.purchase_amount</t>
  </si>
  <si>
    <t xml:space="preserve">asset_3.depreciation_amount[1]</t>
  </si>
  <si>
    <t xml:space="preserve">asset_3.depreciated_amount[-1]</t>
  </si>
  <si>
    <t xml:space="preserve">asset_4.initial_amount</t>
  </si>
  <si>
    <t xml:space="preserve">asset_4.purchase_amount</t>
  </si>
  <si>
    <t xml:space="preserve">asset_4.depreciation_amount[1]</t>
  </si>
  <si>
    <t xml:space="preserve">asset_4.depreciated_amount[-1]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</si>
</sst>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€-410]\ #,##0.00;[RED]\-[$€-410]\ #,##0.00"/>
    <numFmt numFmtId="166" formatCode="0.00%"/>
    <numFmt numFmtId="167" formatCode="General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8"/>
      <name val="Arial"/>
      <family val="2"/>
      <charset val="1"/>
    </font>
    <font>
      <i val="true"/>
      <u val="single"/>
      <sz val="10"/>
      <name val="Arial"/>
      <family val="2"/>
      <charset val="1"/>
    </font>
    <font>
      <i val="true"/>
      <strike val="true"/>
      <sz val="10"/>
      <name val="Arial"/>
      <family val="2"/>
      <charset val="1"/>
    </font>
    <font>
      <strike val="true"/>
      <sz val="10"/>
      <name val="Arial"/>
      <family val="2"/>
      <charset val="1"/>
    </font>
    <font>
      <sz val="10"/>
      <color rgb="FF999999"/>
      <name val="Arial"/>
      <family val="2"/>
      <charset val="1"/>
    </font>
    <font>
      <b val="true"/>
      <sz val="10"/>
      <color rgb="FF999999"/>
      <name val="Arial"/>
      <family val="2"/>
      <charset val="1"/>
    </font>
    <font>
      <i val="true"/>
      <sz val="8"/>
      <color rgb="FF999999"/>
      <name val="Arial"/>
      <family val="2"/>
      <charset val="1"/>
    </font>
    <font>
      <i val="true"/>
      <sz val="10"/>
      <color rgb="FF99999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EE7E5"/>
        <bgColor rgb="FFDEE6EF"/>
      </patternFill>
    </fill>
    <fill>
      <patternFill patternType="solid">
        <fgColor rgb="FFDEE6EF"/>
        <bgColor rgb="FFDEE7E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N4" activeCellId="0" sqref="N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1.56"/>
    <col collapsed="false" customWidth="true" hidden="false" outlineLevel="0" max="2" min="2" style="1" width="99.76"/>
    <col collapsed="false" customWidth="true" hidden="false" outlineLevel="0" max="13" min="13" style="0" width="14.46"/>
    <col collapsed="false" customWidth="true" hidden="false" outlineLevel="0" max="14" min="14" style="0" width="6.39"/>
  </cols>
  <sheetData>
    <row r="1" s="3" customFormat="true" ht="12.8" hidden="false" customHeight="false" outlineLevel="0" collapsed="false">
      <c r="A1" s="2" t="s">
        <v>0</v>
      </c>
      <c r="B1" s="2" t="s">
        <v>1</v>
      </c>
      <c r="M1" s="3" t="s">
        <v>2</v>
      </c>
      <c r="N1" s="3" t="n">
        <v>365</v>
      </c>
    </row>
    <row r="2" s="4" customFormat="true" ht="12.8" hidden="false" customHeight="false" outlineLevel="0" collapsed="false">
      <c r="A2" s="4" t="s">
        <v>3</v>
      </c>
      <c r="B2" s="4" t="s">
        <v>4</v>
      </c>
      <c r="M2" s="3" t="s">
        <v>5</v>
      </c>
      <c r="N2" s="4" t="n">
        <v>365</v>
      </c>
    </row>
    <row r="3" customFormat="false" ht="12.8" hidden="false" customHeight="false" outlineLevel="0" collapsed="false">
      <c r="A3" s="4" t="s">
        <v>6</v>
      </c>
      <c r="B3" s="1" t="s">
        <v>7</v>
      </c>
      <c r="M3" s="3" t="s">
        <v>8</v>
      </c>
      <c r="N3" s="0" t="n">
        <v>365</v>
      </c>
    </row>
    <row r="4" customFormat="false" ht="12.8" hidden="false" customHeight="false" outlineLevel="0" collapsed="false">
      <c r="A4" s="1" t="s">
        <v>9</v>
      </c>
      <c r="B4" s="1" t="s">
        <v>10</v>
      </c>
    </row>
    <row r="10" customFormat="false" ht="12.8" hidden="false" customHeight="false" outlineLevel="0" collapsed="false">
      <c r="A10" s="5" t="s">
        <v>11</v>
      </c>
      <c r="B10" s="5" t="s">
        <v>12</v>
      </c>
    </row>
    <row r="11" customFormat="false" ht="12.8" hidden="false" customHeight="false" outlineLevel="0" collapsed="false">
      <c r="A11" s="1" t="s">
        <v>13</v>
      </c>
      <c r="B11" s="1" t="s">
        <v>14</v>
      </c>
    </row>
    <row r="12" customFormat="false" ht="12.8" hidden="false" customHeight="false" outlineLevel="0" collapsed="false">
      <c r="A12" s="1" t="s">
        <v>15</v>
      </c>
      <c r="B12" s="1" t="s">
        <v>16</v>
      </c>
    </row>
    <row r="13" customFormat="false" ht="12.8" hidden="false" customHeight="false" outlineLevel="0" collapsed="false">
      <c r="A13" s="1" t="s">
        <v>17</v>
      </c>
      <c r="B13" s="1" t="s">
        <v>18</v>
      </c>
    </row>
    <row r="14" customFormat="false" ht="12.8" hidden="false" customHeight="false" outlineLevel="0" collapsed="false">
      <c r="A14" s="1" t="s">
        <v>19</v>
      </c>
      <c r="B14" s="1" t="s">
        <v>20</v>
      </c>
    </row>
    <row r="15" customFormat="false" ht="12.8" hidden="false" customHeight="false" outlineLevel="0" collapsed="false">
      <c r="A15" s="1" t="s">
        <v>21</v>
      </c>
      <c r="B15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6" activeCellId="0" sqref="L36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0.98"/>
    <col collapsed="false" customWidth="true" hidden="false" outlineLevel="0" max="3" min="2" style="1" width="10.39"/>
    <col collapsed="false" customWidth="true" hidden="false" outlineLevel="0" max="4" min="4" style="1" width="11.72"/>
    <col collapsed="false" customWidth="true" hidden="false" outlineLevel="0" max="5" min="5" style="1" width="47.56"/>
    <col collapsed="false" customWidth="true" hidden="false" outlineLevel="0" max="6" min="6" style="1" width="9.26"/>
    <col collapsed="false" customWidth="true" hidden="false" outlineLevel="0" max="7" min="7" style="1" width="9.91"/>
    <col collapsed="false" customWidth="false" hidden="false" outlineLevel="0" max="1021" min="8" style="4" width="11.57"/>
    <col collapsed="false" customWidth="false" hidden="false" outlineLevel="0" max="1023" min="1023" style="4" width="11.57"/>
  </cols>
  <sheetData>
    <row r="1" s="3" customFormat="true" ht="12.8" hidden="false" customHeight="false" outlineLevel="0" collapsed="false">
      <c r="A1" s="3" t="s">
        <v>23</v>
      </c>
      <c r="B1" s="6" t="s">
        <v>24</v>
      </c>
      <c r="C1" s="6" t="s">
        <v>25</v>
      </c>
      <c r="D1" s="6"/>
      <c r="E1" s="3" t="s">
        <v>26</v>
      </c>
      <c r="G1" s="7"/>
      <c r="AMI1" s="1"/>
      <c r="AMJ1" s="1"/>
    </row>
    <row r="2" customFormat="false" ht="12.8" hidden="false" customHeight="false" outlineLevel="0" collapsed="false">
      <c r="A2" s="1" t="s">
        <v>27</v>
      </c>
      <c r="B2" s="8" t="n">
        <v>1000</v>
      </c>
      <c r="C2" s="9" t="n">
        <f aca="false">B2</f>
        <v>1000</v>
      </c>
      <c r="D2" s="10"/>
      <c r="F2" s="1" t="s">
        <v>28</v>
      </c>
      <c r="G2" s="11" t="n">
        <v>0.25</v>
      </c>
    </row>
    <row r="3" customFormat="false" ht="12.8" hidden="false" customHeight="false" outlineLevel="0" collapsed="false">
      <c r="A3" s="1" t="s">
        <v>29</v>
      </c>
      <c r="B3" s="12" t="n">
        <v>183</v>
      </c>
      <c r="E3" s="1" t="s">
        <v>30</v>
      </c>
      <c r="F3" s="1" t="s">
        <v>31</v>
      </c>
      <c r="G3" s="10" t="n">
        <f aca="false">$B$2*G2</f>
        <v>250</v>
      </c>
    </row>
    <row r="4" customFormat="false" ht="12.8" hidden="false" customHeight="false" outlineLevel="0" collapsed="false">
      <c r="A4" s="1" t="s">
        <v>32</v>
      </c>
      <c r="B4" s="9" t="n">
        <f aca="false">$G$3/2</f>
        <v>125</v>
      </c>
      <c r="C4" s="9" t="n">
        <f aca="false">C2-B4</f>
        <v>875</v>
      </c>
      <c r="D4" s="10"/>
      <c r="E4" s="1" t="s">
        <v>33</v>
      </c>
      <c r="F4" s="1" t="s">
        <v>34</v>
      </c>
      <c r="G4" s="13" t="n">
        <v>1</v>
      </c>
    </row>
    <row r="5" customFormat="false" ht="12.8" hidden="false" customHeight="false" outlineLevel="0" collapsed="false">
      <c r="A5" s="1" t="s">
        <v>35</v>
      </c>
      <c r="B5" s="9" t="n">
        <f aca="false">$G$3</f>
        <v>250</v>
      </c>
      <c r="C5" s="9" t="n">
        <f aca="false">C4-B5</f>
        <v>625</v>
      </c>
      <c r="D5" s="10"/>
      <c r="E5" s="1" t="s">
        <v>36</v>
      </c>
    </row>
    <row r="6" customFormat="false" ht="12.8" hidden="false" customHeight="false" outlineLevel="0" collapsed="false">
      <c r="A6" s="1" t="s">
        <v>37</v>
      </c>
      <c r="B6" s="12" t="n">
        <v>31</v>
      </c>
      <c r="E6" s="1" t="s">
        <v>38</v>
      </c>
    </row>
    <row r="7" customFormat="false" ht="12.8" hidden="false" customHeight="false" outlineLevel="0" collapsed="false">
      <c r="A7" s="1" t="s">
        <v>39</v>
      </c>
      <c r="B7" s="9" t="n">
        <f aca="false">$G$3*B6/365</f>
        <v>21.2328767123288</v>
      </c>
      <c r="C7" s="9" t="n">
        <f aca="false">C5-B7</f>
        <v>603.767123287671</v>
      </c>
      <c r="E7" s="1" t="s">
        <v>40</v>
      </c>
    </row>
    <row r="8" customFormat="false" ht="12.8" hidden="false" customHeight="false" outlineLevel="0" collapsed="false">
      <c r="A8" s="1" t="s">
        <v>41</v>
      </c>
      <c r="B8" s="9" t="n">
        <f aca="false">C7*$G$4</f>
        <v>603.767123287671</v>
      </c>
      <c r="C8" s="9" t="n">
        <f aca="false">C7-B8</f>
        <v>0</v>
      </c>
      <c r="E8" s="1" t="s">
        <v>25</v>
      </c>
    </row>
    <row r="9" customFormat="false" ht="12.8" hidden="false" customHeight="false" outlineLevel="0" collapsed="false">
      <c r="A9" s="1" t="s">
        <v>42</v>
      </c>
      <c r="B9" s="8" t="n">
        <v>1400</v>
      </c>
      <c r="E9" s="1" t="s">
        <v>43</v>
      </c>
    </row>
    <row r="10" customFormat="false" ht="12.8" hidden="false" customHeight="false" outlineLevel="0" collapsed="false">
      <c r="A10" s="1" t="s">
        <v>44</v>
      </c>
      <c r="B10" s="9" t="n">
        <f aca="false">B9-B8</f>
        <v>796.232876712329</v>
      </c>
      <c r="E10" s="1" t="s">
        <v>45</v>
      </c>
    </row>
    <row r="12" customFormat="false" ht="12.8" hidden="false" customHeight="false" outlineLevel="0" collapsed="false">
      <c r="D12" s="10"/>
    </row>
    <row r="13" customFormat="false" ht="12.8" hidden="false" customHeight="false" outlineLevel="0" collapsed="false">
      <c r="A13" s="1" t="s">
        <v>46</v>
      </c>
      <c r="B13" s="1" t="s">
        <v>47</v>
      </c>
      <c r="C13" s="1" t="s">
        <v>48</v>
      </c>
      <c r="F13" s="1" t="s">
        <v>47</v>
      </c>
      <c r="G13" s="1" t="s">
        <v>48</v>
      </c>
      <c r="H13" s="1" t="s">
        <v>49</v>
      </c>
      <c r="I13" s="1" t="s">
        <v>50</v>
      </c>
    </row>
    <row r="14" customFormat="false" ht="12.8" hidden="false" customHeight="false" outlineLevel="0" collapsed="false">
      <c r="E14" s="1" t="s">
        <v>51</v>
      </c>
      <c r="G14" s="10" t="n">
        <f aca="false">$B$2</f>
        <v>1000</v>
      </c>
      <c r="H14" s="10" t="n">
        <f aca="false">F14-G14</f>
        <v>-1000</v>
      </c>
    </row>
    <row r="15" customFormat="false" ht="12.8" hidden="false" customHeight="false" outlineLevel="0" collapsed="false">
      <c r="A15" s="1" t="s">
        <v>52</v>
      </c>
      <c r="E15" s="1" t="s">
        <v>53</v>
      </c>
      <c r="F15" s="10" t="n">
        <f aca="false">$B$2</f>
        <v>1000</v>
      </c>
      <c r="H15" s="10" t="n">
        <f aca="false">F15-G15</f>
        <v>1000</v>
      </c>
    </row>
    <row r="16" customFormat="false" ht="12.8" hidden="false" customHeight="false" outlineLevel="0" collapsed="false">
      <c r="A16" s="1" t="s">
        <v>54</v>
      </c>
      <c r="C16" s="10" t="n">
        <f aca="false">B4</f>
        <v>125</v>
      </c>
      <c r="E16" s="1" t="s">
        <v>54</v>
      </c>
      <c r="G16" s="10" t="n">
        <f aca="false">C16</f>
        <v>125</v>
      </c>
      <c r="H16" s="10" t="n">
        <f aca="false">F16-G16</f>
        <v>-125</v>
      </c>
    </row>
    <row r="17" customFormat="false" ht="12.8" hidden="false" customHeight="false" outlineLevel="0" collapsed="false">
      <c r="A17" s="1" t="s">
        <v>55</v>
      </c>
      <c r="B17" s="9" t="n">
        <f aca="false">B4</f>
        <v>125</v>
      </c>
      <c r="E17" s="1" t="s">
        <v>56</v>
      </c>
      <c r="F17" s="10" t="n">
        <f aca="false">B17</f>
        <v>125</v>
      </c>
      <c r="H17" s="10" t="n">
        <f aca="false">F17-G17</f>
        <v>125</v>
      </c>
    </row>
    <row r="18" customFormat="false" ht="12.8" hidden="false" customHeight="false" outlineLevel="0" collapsed="false">
      <c r="A18" s="14" t="s">
        <v>57</v>
      </c>
      <c r="B18" s="15" t="n">
        <f aca="false">SUM(B15:B17)</f>
        <v>125</v>
      </c>
      <c r="C18" s="15" t="n">
        <f aca="false">SUM(C15:C17)</f>
        <v>125</v>
      </c>
      <c r="E18" s="3" t="s">
        <v>58</v>
      </c>
      <c r="H18" s="6" t="n">
        <f aca="false">H15+H16</f>
        <v>875</v>
      </c>
      <c r="I18" s="16" t="n">
        <f aca="false">C4</f>
        <v>875</v>
      </c>
    </row>
    <row r="19" customFormat="false" ht="12.8" hidden="false" customHeight="false" outlineLevel="0" collapsed="false">
      <c r="G19" s="10"/>
      <c r="H19" s="10"/>
    </row>
    <row r="20" customFormat="false" ht="12.8" hidden="false" customHeight="false" outlineLevel="0" collapsed="false">
      <c r="A20" s="1" t="s">
        <v>59</v>
      </c>
      <c r="E20" s="1" t="s">
        <v>53</v>
      </c>
      <c r="F20" s="10" t="n">
        <f aca="false">$B$2</f>
        <v>1000</v>
      </c>
      <c r="H20" s="10" t="n">
        <f aca="false">F20-G20</f>
        <v>1000</v>
      </c>
    </row>
    <row r="21" customFormat="false" ht="12.8" hidden="false" customHeight="false" outlineLevel="0" collapsed="false">
      <c r="A21" s="1" t="s">
        <v>54</v>
      </c>
      <c r="C21" s="10" t="n">
        <f aca="false">B5</f>
        <v>250</v>
      </c>
      <c r="E21" s="1" t="s">
        <v>54</v>
      </c>
      <c r="G21" s="10" t="n">
        <f aca="false">G16+C21</f>
        <v>375</v>
      </c>
      <c r="H21" s="10" t="n">
        <f aca="false">F21-G21</f>
        <v>-375</v>
      </c>
    </row>
    <row r="22" customFormat="false" ht="12.8" hidden="false" customHeight="false" outlineLevel="0" collapsed="false">
      <c r="A22" s="1" t="s">
        <v>55</v>
      </c>
      <c r="B22" s="9" t="n">
        <f aca="false">B5</f>
        <v>250</v>
      </c>
      <c r="E22" s="1" t="s">
        <v>56</v>
      </c>
      <c r="F22" s="10" t="n">
        <f aca="false">B22</f>
        <v>250</v>
      </c>
      <c r="H22" s="10" t="n">
        <f aca="false">F22-G22</f>
        <v>250</v>
      </c>
    </row>
    <row r="23" customFormat="false" ht="12.8" hidden="false" customHeight="false" outlineLevel="0" collapsed="false">
      <c r="A23" s="14" t="s">
        <v>57</v>
      </c>
      <c r="B23" s="15" t="n">
        <f aca="false">SUM(B20:B22)</f>
        <v>250</v>
      </c>
      <c r="C23" s="15" t="n">
        <f aca="false">SUM(C20:C22)</f>
        <v>250</v>
      </c>
      <c r="E23" s="3" t="s">
        <v>58</v>
      </c>
      <c r="H23" s="6" t="n">
        <f aca="false">H20+H21</f>
        <v>625</v>
      </c>
      <c r="I23" s="16" t="n">
        <f aca="false">C5</f>
        <v>625</v>
      </c>
    </row>
    <row r="25" customFormat="false" ht="12.8" hidden="false" customHeight="false" outlineLevel="0" collapsed="false">
      <c r="A25" s="1" t="s">
        <v>60</v>
      </c>
      <c r="E25" s="1" t="s">
        <v>53</v>
      </c>
      <c r="F25" s="10" t="n">
        <f aca="false">$B$2</f>
        <v>1000</v>
      </c>
      <c r="H25" s="10" t="n">
        <f aca="false">F25-G25</f>
        <v>1000</v>
      </c>
    </row>
    <row r="26" customFormat="false" ht="12.8" hidden="false" customHeight="false" outlineLevel="0" collapsed="false">
      <c r="A26" s="1" t="s">
        <v>54</v>
      </c>
      <c r="C26" s="10" t="n">
        <f aca="false">B7</f>
        <v>21.2328767123288</v>
      </c>
      <c r="E26" s="1" t="s">
        <v>54</v>
      </c>
      <c r="G26" s="10" t="n">
        <f aca="false">G21+C26</f>
        <v>396.232876712329</v>
      </c>
      <c r="H26" s="10" t="n">
        <f aca="false">F26-G26</f>
        <v>-396.232876712329</v>
      </c>
    </row>
    <row r="27" customFormat="false" ht="12.8" hidden="false" customHeight="false" outlineLevel="0" collapsed="false">
      <c r="A27" s="1" t="s">
        <v>55</v>
      </c>
      <c r="B27" s="9" t="n">
        <f aca="false">B7</f>
        <v>21.2328767123288</v>
      </c>
      <c r="E27" s="1" t="s">
        <v>56</v>
      </c>
      <c r="F27" s="10" t="n">
        <f aca="false">B27</f>
        <v>21.2328767123288</v>
      </c>
      <c r="H27" s="10" t="n">
        <f aca="false">F27-G27</f>
        <v>21.2328767123288</v>
      </c>
    </row>
    <row r="28" customFormat="false" ht="12.8" hidden="false" customHeight="false" outlineLevel="0" collapsed="false">
      <c r="A28" s="14" t="s">
        <v>57</v>
      </c>
      <c r="B28" s="15" t="n">
        <f aca="false">SUM(B25:B27)</f>
        <v>21.2328767123288</v>
      </c>
      <c r="C28" s="15" t="n">
        <f aca="false">SUM(C25:C27)</f>
        <v>21.2328767123288</v>
      </c>
      <c r="E28" s="3" t="s">
        <v>58</v>
      </c>
      <c r="H28" s="6" t="n">
        <f aca="false">H25+H26</f>
        <v>603.767123287671</v>
      </c>
      <c r="I28" s="16" t="n">
        <f aca="false">C7</f>
        <v>603.767123287671</v>
      </c>
    </row>
    <row r="29" customFormat="false" ht="12.8" hidden="false" customHeight="false" outlineLevel="0" collapsed="false">
      <c r="A29" s="14"/>
      <c r="B29" s="15"/>
      <c r="C29" s="15"/>
    </row>
    <row r="30" customFormat="false" ht="12.8" hidden="false" customHeight="false" outlineLevel="0" collapsed="false">
      <c r="A30" s="1" t="s">
        <v>61</v>
      </c>
      <c r="E30" s="1" t="s">
        <v>53</v>
      </c>
      <c r="F30" s="10" t="n">
        <f aca="false">$B$2</f>
        <v>1000</v>
      </c>
      <c r="G30" s="10" t="n">
        <f aca="false">C32</f>
        <v>1400</v>
      </c>
      <c r="H30" s="10" t="n">
        <f aca="false">F30-G30</f>
        <v>-400</v>
      </c>
    </row>
    <row r="31" customFormat="false" ht="12.8" hidden="false" customHeight="false" outlineLevel="0" collapsed="false">
      <c r="A31" s="1" t="s">
        <v>62</v>
      </c>
      <c r="B31" s="10" t="n">
        <f aca="false">B9</f>
        <v>1400</v>
      </c>
      <c r="C31" s="10"/>
      <c r="E31" s="1" t="s">
        <v>54</v>
      </c>
      <c r="G31" s="10" t="n">
        <f aca="false">G26</f>
        <v>396.232876712329</v>
      </c>
      <c r="H31" s="10" t="n">
        <f aca="false">F31-G31</f>
        <v>-396.232876712329</v>
      </c>
    </row>
    <row r="32" customFormat="false" ht="12.8" hidden="false" customHeight="false" outlineLevel="0" collapsed="false">
      <c r="A32" s="1" t="s">
        <v>53</v>
      </c>
      <c r="B32" s="10"/>
      <c r="C32" s="10" t="n">
        <f aca="false">B9</f>
        <v>1400</v>
      </c>
      <c r="E32" s="1" t="s">
        <v>56</v>
      </c>
      <c r="F32" s="10" t="n">
        <f aca="false">B32</f>
        <v>0</v>
      </c>
      <c r="H32" s="10" t="n">
        <f aca="false">F32-G32</f>
        <v>0</v>
      </c>
    </row>
    <row r="33" customFormat="false" ht="12.8" hidden="false" customHeight="false" outlineLevel="0" collapsed="false">
      <c r="A33" s="14" t="s">
        <v>57</v>
      </c>
      <c r="B33" s="15" t="n">
        <f aca="false">SUM(B30:B32)</f>
        <v>1400</v>
      </c>
      <c r="C33" s="15" t="n">
        <f aca="false">SUM(C30:C32)</f>
        <v>1400</v>
      </c>
      <c r="E33" s="17" t="s">
        <v>58</v>
      </c>
      <c r="F33" s="18"/>
      <c r="G33" s="18"/>
      <c r="H33" s="19" t="n">
        <f aca="false">H30+H31</f>
        <v>-796.232876712329</v>
      </c>
    </row>
    <row r="35" customFormat="false" ht="12.8" hidden="false" customHeight="false" outlineLevel="0" collapsed="false">
      <c r="A35" s="1" t="s">
        <v>41</v>
      </c>
      <c r="E35" s="1" t="s">
        <v>53</v>
      </c>
      <c r="F35" s="10" t="n">
        <f aca="false">F30+B36</f>
        <v>1400</v>
      </c>
      <c r="G35" s="10" t="n">
        <f aca="false">G30+C39</f>
        <v>1400</v>
      </c>
      <c r="H35" s="10" t="n">
        <f aca="false">F35-G35</f>
        <v>0</v>
      </c>
    </row>
    <row r="36" customFormat="false" ht="12.8" hidden="false" customHeight="false" outlineLevel="0" collapsed="false">
      <c r="A36" s="1" t="s">
        <v>53</v>
      </c>
      <c r="B36" s="10" t="n">
        <f aca="false">B10-G26</f>
        <v>400</v>
      </c>
      <c r="C36" s="10"/>
      <c r="E36" s="1" t="s">
        <v>54</v>
      </c>
      <c r="F36" s="10" t="n">
        <f aca="false">F26+B38</f>
        <v>396.232876712329</v>
      </c>
      <c r="G36" s="10" t="n">
        <f aca="false">G26</f>
        <v>396.232876712329</v>
      </c>
      <c r="H36" s="10" t="n">
        <f aca="false">F36-G36</f>
        <v>0</v>
      </c>
    </row>
    <row r="37" customFormat="false" ht="12.8" hidden="false" customHeight="false" outlineLevel="0" collapsed="false">
      <c r="A37" s="1" t="s">
        <v>44</v>
      </c>
      <c r="B37" s="10"/>
      <c r="C37" s="9" t="n">
        <f aca="false">B10</f>
        <v>796.232876712329</v>
      </c>
      <c r="E37" s="1" t="s">
        <v>56</v>
      </c>
      <c r="F37" s="10" t="n">
        <f aca="false">B37</f>
        <v>0</v>
      </c>
      <c r="H37" s="10" t="n">
        <f aca="false">F37-G37</f>
        <v>0</v>
      </c>
    </row>
    <row r="38" customFormat="false" ht="12.8" hidden="false" customHeight="false" outlineLevel="0" collapsed="false">
      <c r="A38" s="1" t="s">
        <v>54</v>
      </c>
      <c r="B38" s="10" t="n">
        <f aca="false">G26</f>
        <v>396.232876712329</v>
      </c>
      <c r="C38" s="10"/>
      <c r="E38" s="1" t="s">
        <v>44</v>
      </c>
      <c r="F38" s="10"/>
      <c r="G38" s="10" t="n">
        <f aca="false">C37</f>
        <v>796.232876712329</v>
      </c>
      <c r="H38" s="10" t="n">
        <f aca="false">F38-G38</f>
        <v>-796.232876712329</v>
      </c>
    </row>
    <row r="39" customFormat="false" ht="12.8" hidden="false" customHeight="false" outlineLevel="0" collapsed="false">
      <c r="A39" s="1" t="s">
        <v>53</v>
      </c>
      <c r="B39" s="10"/>
      <c r="C39" s="10" t="n">
        <v>0</v>
      </c>
      <c r="E39" s="3" t="s">
        <v>58</v>
      </c>
      <c r="H39" s="6" t="n">
        <f aca="false">H35+H36</f>
        <v>0</v>
      </c>
      <c r="I39" s="16" t="n">
        <f aca="false">C8</f>
        <v>0</v>
      </c>
    </row>
    <row r="40" customFormat="false" ht="12.8" hidden="false" customHeight="false" outlineLevel="0" collapsed="false">
      <c r="A40" s="14" t="s">
        <v>57</v>
      </c>
      <c r="B40" s="15" t="n">
        <f aca="false">SUM(B35:B39)</f>
        <v>796.232876712329</v>
      </c>
      <c r="C40" s="15" t="n">
        <f aca="false">SUM(C35:C39)</f>
        <v>796.232876712329</v>
      </c>
      <c r="H40" s="10"/>
    </row>
    <row r="42" customFormat="false" ht="12.8" hidden="false" customHeight="false" outlineLevel="0" collapsed="false">
      <c r="A42" s="1" t="s">
        <v>63</v>
      </c>
    </row>
    <row r="43" customFormat="false" ht="12.8" hidden="false" customHeight="false" outlineLevel="0" collapsed="false">
      <c r="A43" s="1" t="s">
        <v>53</v>
      </c>
      <c r="B43" s="10"/>
      <c r="C43" s="10" t="n">
        <f aca="false">C32-B36</f>
        <v>1000</v>
      </c>
      <c r="E43" s="1" t="s">
        <v>53</v>
      </c>
      <c r="F43" s="10" t="n">
        <f aca="false">F25</f>
        <v>1000</v>
      </c>
      <c r="G43" s="10" t="n">
        <f aca="false">G25+C43</f>
        <v>1000</v>
      </c>
      <c r="H43" s="10" t="n">
        <f aca="false">F43-G43</f>
        <v>0</v>
      </c>
    </row>
    <row r="44" customFormat="false" ht="12.8" hidden="false" customHeight="false" outlineLevel="0" collapsed="false">
      <c r="A44" s="1" t="s">
        <v>44</v>
      </c>
      <c r="B44" s="10"/>
      <c r="C44" s="9" t="n">
        <f aca="false">C37</f>
        <v>796.232876712329</v>
      </c>
      <c r="E44" s="1" t="s">
        <v>54</v>
      </c>
      <c r="F44" s="10" t="n">
        <f aca="false">F26+B45</f>
        <v>396.232876712329</v>
      </c>
      <c r="G44" s="10" t="n">
        <f aca="false">G26</f>
        <v>396.232876712329</v>
      </c>
      <c r="H44" s="10" t="n">
        <f aca="false">F44-G44</f>
        <v>0</v>
      </c>
    </row>
    <row r="45" customFormat="false" ht="12.8" hidden="false" customHeight="false" outlineLevel="0" collapsed="false">
      <c r="A45" s="1" t="s">
        <v>54</v>
      </c>
      <c r="B45" s="10" t="n">
        <f aca="false">B38</f>
        <v>396.232876712329</v>
      </c>
      <c r="C45" s="10"/>
      <c r="E45" s="1" t="s">
        <v>56</v>
      </c>
      <c r="F45" s="10" t="n">
        <v>0</v>
      </c>
      <c r="H45" s="10" t="n">
        <f aca="false">F45-G45</f>
        <v>0</v>
      </c>
    </row>
    <row r="46" customFormat="false" ht="12.8" hidden="false" customHeight="false" outlineLevel="0" collapsed="false">
      <c r="A46" s="1" t="s">
        <v>64</v>
      </c>
      <c r="B46" s="10" t="n">
        <f aca="false">B9</f>
        <v>1400</v>
      </c>
      <c r="C46" s="10"/>
      <c r="F46" s="10"/>
      <c r="H46" s="10"/>
    </row>
    <row r="47" customFormat="false" ht="12.8" hidden="false" customHeight="false" outlineLevel="0" collapsed="false">
      <c r="A47" s="14" t="s">
        <v>57</v>
      </c>
      <c r="B47" s="15" t="n">
        <f aca="false">SUM(B42:B46)</f>
        <v>1796.23287671233</v>
      </c>
      <c r="C47" s="15" t="n">
        <f aca="false">SUM(C42:C46)</f>
        <v>1796.23287671233</v>
      </c>
      <c r="E47" s="1" t="s">
        <v>44</v>
      </c>
      <c r="F47" s="10"/>
      <c r="G47" s="10" t="n">
        <f aca="false">C44</f>
        <v>796.232876712329</v>
      </c>
      <c r="H47" s="10" t="n">
        <f aca="false">F47-G47</f>
        <v>-796.232876712329</v>
      </c>
    </row>
    <row r="48" customFormat="false" ht="12.8" hidden="false" customHeight="false" outlineLevel="0" collapsed="false">
      <c r="E48" s="3" t="s">
        <v>58</v>
      </c>
      <c r="H48" s="6" t="n">
        <f aca="false">H43+H44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0.98"/>
    <col collapsed="false" customWidth="true" hidden="false" outlineLevel="0" max="3" min="2" style="1" width="10.39"/>
    <col collapsed="false" customWidth="true" hidden="false" outlineLevel="0" max="4" min="4" style="1" width="11.72"/>
    <col collapsed="false" customWidth="true" hidden="false" outlineLevel="0" max="5" min="5" style="1" width="47.56"/>
    <col collapsed="false" customWidth="true" hidden="false" outlineLevel="0" max="6" min="6" style="1" width="9.26"/>
    <col collapsed="false" customWidth="true" hidden="false" outlineLevel="0" max="7" min="7" style="1" width="9.91"/>
    <col collapsed="false" customWidth="false" hidden="false" outlineLevel="0" max="1021" min="8" style="4" width="11.57"/>
    <col collapsed="false" customWidth="false" hidden="false" outlineLevel="0" max="1023" min="1023" style="4" width="11.57"/>
  </cols>
  <sheetData>
    <row r="1" s="3" customFormat="true" ht="12.8" hidden="false" customHeight="false" outlineLevel="0" collapsed="false">
      <c r="A1" s="3" t="s">
        <v>23</v>
      </c>
      <c r="B1" s="6" t="s">
        <v>24</v>
      </c>
      <c r="C1" s="6" t="s">
        <v>25</v>
      </c>
      <c r="D1" s="6"/>
      <c r="E1" s="3" t="s">
        <v>26</v>
      </c>
      <c r="G1" s="7"/>
      <c r="AMI1" s="1"/>
      <c r="AMJ1" s="1"/>
    </row>
    <row r="2" customFormat="false" ht="12.8" hidden="false" customHeight="false" outlineLevel="0" collapsed="false">
      <c r="A2" s="1" t="s">
        <v>27</v>
      </c>
      <c r="B2" s="8" t="n">
        <v>2500</v>
      </c>
      <c r="C2" s="9" t="n">
        <f aca="false">B2</f>
        <v>2500</v>
      </c>
      <c r="D2" s="10"/>
      <c r="F2" s="1" t="s">
        <v>28</v>
      </c>
      <c r="G2" s="11" t="n">
        <v>0.24</v>
      </c>
    </row>
    <row r="3" customFormat="false" ht="12.8" hidden="false" customHeight="false" outlineLevel="0" collapsed="false">
      <c r="A3" s="1" t="s">
        <v>29</v>
      </c>
      <c r="B3" s="12" t="n">
        <v>92</v>
      </c>
      <c r="E3" s="1" t="s">
        <v>65</v>
      </c>
      <c r="F3" s="1" t="s">
        <v>31</v>
      </c>
      <c r="G3" s="10" t="n">
        <f aca="false">$B$2*G2</f>
        <v>600</v>
      </c>
    </row>
    <row r="4" customFormat="false" ht="12.8" hidden="false" customHeight="false" outlineLevel="0" collapsed="false">
      <c r="A4" s="1" t="s">
        <v>32</v>
      </c>
      <c r="B4" s="9" t="n">
        <f aca="false">$G$3*B3/Intro!$N$1</f>
        <v>151.232876712329</v>
      </c>
      <c r="C4" s="9" t="n">
        <f aca="false">C2-B4</f>
        <v>2348.76712328767</v>
      </c>
      <c r="D4" s="10"/>
      <c r="E4" s="1" t="s">
        <v>33</v>
      </c>
      <c r="F4" s="1" t="s">
        <v>34</v>
      </c>
      <c r="G4" s="13" t="n">
        <v>1</v>
      </c>
    </row>
    <row r="5" customFormat="false" ht="12.8" hidden="false" customHeight="false" outlineLevel="0" collapsed="false">
      <c r="A5" s="1" t="s">
        <v>35</v>
      </c>
      <c r="B5" s="9" t="n">
        <f aca="false">$G$3</f>
        <v>600</v>
      </c>
      <c r="C5" s="9" t="n">
        <f aca="false">C4-B5</f>
        <v>1748.76712328767</v>
      </c>
      <c r="D5" s="10"/>
      <c r="E5" s="1" t="s">
        <v>36</v>
      </c>
    </row>
    <row r="6" customFormat="false" ht="12.8" hidden="false" customHeight="false" outlineLevel="0" collapsed="false">
      <c r="A6" s="1" t="s">
        <v>37</v>
      </c>
      <c r="B6" s="12" t="n">
        <v>31</v>
      </c>
      <c r="E6" s="1" t="s">
        <v>38</v>
      </c>
    </row>
    <row r="7" customFormat="false" ht="12.8" hidden="false" customHeight="false" outlineLevel="0" collapsed="false">
      <c r="A7" s="1" t="s">
        <v>39</v>
      </c>
      <c r="B7" s="9" t="n">
        <f aca="false">$G$3*B6/365</f>
        <v>50.958904109589</v>
      </c>
      <c r="C7" s="9" t="n">
        <f aca="false">C5-B7</f>
        <v>1697.80821917808</v>
      </c>
      <c r="E7" s="1" t="s">
        <v>40</v>
      </c>
    </row>
    <row r="8" customFormat="false" ht="12.8" hidden="false" customHeight="false" outlineLevel="0" collapsed="false">
      <c r="A8" s="1" t="s">
        <v>41</v>
      </c>
      <c r="B8" s="9" t="n">
        <f aca="false">C7*$G$4</f>
        <v>1697.80821917808</v>
      </c>
      <c r="C8" s="9" t="n">
        <f aca="false">C7-B8</f>
        <v>0</v>
      </c>
      <c r="E8" s="1" t="s">
        <v>25</v>
      </c>
    </row>
    <row r="9" customFormat="false" ht="12.8" hidden="false" customHeight="false" outlineLevel="0" collapsed="false">
      <c r="A9" s="1" t="s">
        <v>42</v>
      </c>
      <c r="B9" s="8" t="n">
        <v>3210</v>
      </c>
      <c r="E9" s="1" t="s">
        <v>43</v>
      </c>
    </row>
    <row r="10" customFormat="false" ht="12.8" hidden="false" customHeight="false" outlineLevel="0" collapsed="false">
      <c r="A10" s="1" t="s">
        <v>44</v>
      </c>
      <c r="B10" s="9" t="n">
        <f aca="false">B9-B8</f>
        <v>1512.19178082192</v>
      </c>
      <c r="E10" s="1" t="s">
        <v>45</v>
      </c>
    </row>
    <row r="12" customFormat="false" ht="12.8" hidden="false" customHeight="false" outlineLevel="0" collapsed="false">
      <c r="D12" s="10"/>
    </row>
    <row r="13" customFormat="false" ht="12.8" hidden="false" customHeight="false" outlineLevel="0" collapsed="false">
      <c r="A13" s="1" t="s">
        <v>46</v>
      </c>
      <c r="B13" s="1" t="s">
        <v>47</v>
      </c>
      <c r="C13" s="1" t="s">
        <v>48</v>
      </c>
      <c r="F13" s="1" t="s">
        <v>47</v>
      </c>
      <c r="G13" s="1" t="s">
        <v>48</v>
      </c>
      <c r="H13" s="1" t="s">
        <v>49</v>
      </c>
      <c r="I13" s="1" t="s">
        <v>50</v>
      </c>
    </row>
    <row r="14" customFormat="false" ht="12.8" hidden="false" customHeight="false" outlineLevel="0" collapsed="false">
      <c r="E14" s="1" t="s">
        <v>51</v>
      </c>
      <c r="G14" s="10" t="n">
        <f aca="false">$B$2</f>
        <v>2500</v>
      </c>
      <c r="H14" s="10" t="n">
        <f aca="false">F14-G14</f>
        <v>-2500</v>
      </c>
    </row>
    <row r="15" customFormat="false" ht="12.8" hidden="false" customHeight="false" outlineLevel="0" collapsed="false">
      <c r="A15" s="1" t="s">
        <v>66</v>
      </c>
      <c r="E15" s="1" t="s">
        <v>53</v>
      </c>
      <c r="F15" s="10" t="n">
        <f aca="false">$B$2</f>
        <v>2500</v>
      </c>
      <c r="H15" s="10" t="n">
        <f aca="false">F15-G15</f>
        <v>2500</v>
      </c>
    </row>
    <row r="16" customFormat="false" ht="12.8" hidden="false" customHeight="false" outlineLevel="0" collapsed="false">
      <c r="A16" s="1" t="s">
        <v>54</v>
      </c>
      <c r="C16" s="10" t="n">
        <f aca="false">B4</f>
        <v>151.232876712329</v>
      </c>
      <c r="E16" s="1" t="s">
        <v>54</v>
      </c>
      <c r="G16" s="10" t="n">
        <f aca="false">C16</f>
        <v>151.232876712329</v>
      </c>
      <c r="H16" s="10" t="n">
        <f aca="false">F16-G16</f>
        <v>-151.232876712329</v>
      </c>
    </row>
    <row r="17" customFormat="false" ht="12.8" hidden="false" customHeight="false" outlineLevel="0" collapsed="false">
      <c r="A17" s="1" t="s">
        <v>55</v>
      </c>
      <c r="B17" s="9" t="n">
        <f aca="false">B4</f>
        <v>151.232876712329</v>
      </c>
      <c r="E17" s="1" t="s">
        <v>56</v>
      </c>
      <c r="F17" s="10" t="n">
        <f aca="false">B17</f>
        <v>151.232876712329</v>
      </c>
      <c r="H17" s="10" t="n">
        <f aca="false">F17-G17</f>
        <v>151.232876712329</v>
      </c>
    </row>
    <row r="18" customFormat="false" ht="12.8" hidden="false" customHeight="false" outlineLevel="0" collapsed="false">
      <c r="A18" s="14" t="s">
        <v>57</v>
      </c>
      <c r="B18" s="15" t="n">
        <f aca="false">SUM(B15:B17)</f>
        <v>151.232876712329</v>
      </c>
      <c r="C18" s="15" t="n">
        <f aca="false">SUM(C15:C17)</f>
        <v>151.232876712329</v>
      </c>
      <c r="E18" s="3" t="s">
        <v>58</v>
      </c>
      <c r="H18" s="6" t="n">
        <f aca="false">H15+H16</f>
        <v>2348.76712328767</v>
      </c>
      <c r="I18" s="16" t="n">
        <f aca="false">C4</f>
        <v>2348.76712328767</v>
      </c>
    </row>
    <row r="19" customFormat="false" ht="12.8" hidden="false" customHeight="false" outlineLevel="0" collapsed="false">
      <c r="G19" s="10"/>
      <c r="H19" s="10"/>
    </row>
    <row r="20" customFormat="false" ht="12.8" hidden="false" customHeight="false" outlineLevel="0" collapsed="false">
      <c r="A20" s="1" t="s">
        <v>67</v>
      </c>
      <c r="E20" s="1" t="s">
        <v>53</v>
      </c>
      <c r="F20" s="10" t="n">
        <f aca="false">$B$2</f>
        <v>2500</v>
      </c>
      <c r="H20" s="10" t="n">
        <f aca="false">F20-G20</f>
        <v>2500</v>
      </c>
    </row>
    <row r="21" customFormat="false" ht="12.8" hidden="false" customHeight="false" outlineLevel="0" collapsed="false">
      <c r="A21" s="1" t="s">
        <v>54</v>
      </c>
      <c r="C21" s="10" t="n">
        <f aca="false">B5</f>
        <v>600</v>
      </c>
      <c r="E21" s="1" t="s">
        <v>54</v>
      </c>
      <c r="G21" s="10" t="n">
        <f aca="false">G16+C21</f>
        <v>751.232876712329</v>
      </c>
      <c r="H21" s="10" t="n">
        <f aca="false">F21-G21</f>
        <v>-751.232876712329</v>
      </c>
    </row>
    <row r="22" customFormat="false" ht="12.8" hidden="false" customHeight="false" outlineLevel="0" collapsed="false">
      <c r="A22" s="1" t="s">
        <v>55</v>
      </c>
      <c r="B22" s="9" t="n">
        <f aca="false">B5</f>
        <v>600</v>
      </c>
      <c r="E22" s="1" t="s">
        <v>56</v>
      </c>
      <c r="F22" s="10" t="n">
        <f aca="false">B22</f>
        <v>600</v>
      </c>
      <c r="H22" s="10" t="n">
        <f aca="false">F22-G22</f>
        <v>600</v>
      </c>
    </row>
    <row r="23" customFormat="false" ht="12.8" hidden="false" customHeight="false" outlineLevel="0" collapsed="false">
      <c r="A23" s="14" t="s">
        <v>57</v>
      </c>
      <c r="B23" s="15" t="n">
        <f aca="false">SUM(B20:B22)</f>
        <v>600</v>
      </c>
      <c r="C23" s="15" t="n">
        <f aca="false">SUM(C20:C22)</f>
        <v>600</v>
      </c>
      <c r="E23" s="3" t="s">
        <v>58</v>
      </c>
      <c r="H23" s="6" t="n">
        <f aca="false">H20+H21</f>
        <v>1748.76712328767</v>
      </c>
      <c r="I23" s="16" t="n">
        <f aca="false">C5</f>
        <v>1748.76712328767</v>
      </c>
    </row>
    <row r="25" customFormat="false" ht="12.8" hidden="false" customHeight="false" outlineLevel="0" collapsed="false">
      <c r="A25" s="1" t="s">
        <v>68</v>
      </c>
      <c r="E25" s="1" t="s">
        <v>53</v>
      </c>
      <c r="F25" s="10" t="n">
        <f aca="false">$B$2</f>
        <v>2500</v>
      </c>
      <c r="H25" s="10" t="n">
        <f aca="false">F25-G25</f>
        <v>2500</v>
      </c>
    </row>
    <row r="26" customFormat="false" ht="12.8" hidden="false" customHeight="false" outlineLevel="0" collapsed="false">
      <c r="A26" s="1" t="s">
        <v>54</v>
      </c>
      <c r="C26" s="10" t="n">
        <f aca="false">B7</f>
        <v>50.958904109589</v>
      </c>
      <c r="E26" s="1" t="s">
        <v>54</v>
      </c>
      <c r="G26" s="10" t="n">
        <f aca="false">G21+C26</f>
        <v>802.191780821918</v>
      </c>
      <c r="H26" s="10" t="n">
        <f aca="false">F26-G26</f>
        <v>-802.191780821918</v>
      </c>
    </row>
    <row r="27" customFormat="false" ht="12.8" hidden="false" customHeight="false" outlineLevel="0" collapsed="false">
      <c r="A27" s="1" t="s">
        <v>55</v>
      </c>
      <c r="B27" s="9" t="n">
        <f aca="false">B7</f>
        <v>50.958904109589</v>
      </c>
      <c r="E27" s="1" t="s">
        <v>56</v>
      </c>
      <c r="F27" s="10" t="n">
        <f aca="false">B27</f>
        <v>50.958904109589</v>
      </c>
      <c r="H27" s="10" t="n">
        <f aca="false">F27-G27</f>
        <v>50.958904109589</v>
      </c>
    </row>
    <row r="28" customFormat="false" ht="12.8" hidden="false" customHeight="false" outlineLevel="0" collapsed="false">
      <c r="A28" s="14" t="s">
        <v>57</v>
      </c>
      <c r="B28" s="15" t="n">
        <f aca="false">SUM(B25:B27)</f>
        <v>50.958904109589</v>
      </c>
      <c r="C28" s="15" t="n">
        <f aca="false">SUM(C25:C27)</f>
        <v>50.958904109589</v>
      </c>
      <c r="E28" s="3" t="s">
        <v>58</v>
      </c>
      <c r="H28" s="6" t="n">
        <f aca="false">H25+H26</f>
        <v>1697.80821917808</v>
      </c>
      <c r="I28" s="16" t="n">
        <f aca="false">C7</f>
        <v>1697.80821917808</v>
      </c>
    </row>
    <row r="29" customFormat="false" ht="12.8" hidden="false" customHeight="false" outlineLevel="0" collapsed="false">
      <c r="A29" s="14"/>
      <c r="B29" s="15"/>
      <c r="C29" s="15"/>
    </row>
    <row r="30" customFormat="false" ht="12.8" hidden="false" customHeight="false" outlineLevel="0" collapsed="false">
      <c r="A30" s="1" t="s">
        <v>61</v>
      </c>
      <c r="E30" s="1" t="s">
        <v>53</v>
      </c>
      <c r="F30" s="10" t="n">
        <f aca="false">$B$2</f>
        <v>2500</v>
      </c>
      <c r="G30" s="10" t="n">
        <f aca="false">C32</f>
        <v>3210</v>
      </c>
      <c r="H30" s="10" t="n">
        <f aca="false">F30-G30</f>
        <v>-710</v>
      </c>
    </row>
    <row r="31" customFormat="false" ht="12.8" hidden="false" customHeight="false" outlineLevel="0" collapsed="false">
      <c r="A31" s="1" t="s">
        <v>62</v>
      </c>
      <c r="B31" s="10" t="n">
        <f aca="false">B9</f>
        <v>3210</v>
      </c>
      <c r="C31" s="10"/>
      <c r="E31" s="1" t="s">
        <v>54</v>
      </c>
      <c r="G31" s="10" t="n">
        <f aca="false">G26</f>
        <v>802.191780821918</v>
      </c>
      <c r="H31" s="10" t="n">
        <f aca="false">F31-G31</f>
        <v>-802.191780821918</v>
      </c>
    </row>
    <row r="32" customFormat="false" ht="12.8" hidden="false" customHeight="false" outlineLevel="0" collapsed="false">
      <c r="A32" s="1" t="s">
        <v>53</v>
      </c>
      <c r="B32" s="10"/>
      <c r="C32" s="10" t="n">
        <f aca="false">B9</f>
        <v>3210</v>
      </c>
      <c r="E32" s="1" t="s">
        <v>56</v>
      </c>
      <c r="F32" s="10" t="n">
        <f aca="false">B32</f>
        <v>0</v>
      </c>
      <c r="H32" s="10" t="n">
        <f aca="false">F32-G32</f>
        <v>0</v>
      </c>
    </row>
    <row r="33" customFormat="false" ht="12.8" hidden="false" customHeight="false" outlineLevel="0" collapsed="false">
      <c r="A33" s="14" t="s">
        <v>57</v>
      </c>
      <c r="B33" s="15" t="n">
        <f aca="false">SUM(B30:B32)</f>
        <v>3210</v>
      </c>
      <c r="C33" s="15" t="n">
        <f aca="false">SUM(C30:C32)</f>
        <v>3210</v>
      </c>
      <c r="E33" s="17" t="s">
        <v>58</v>
      </c>
      <c r="F33" s="18"/>
      <c r="G33" s="18"/>
      <c r="H33" s="19" t="n">
        <f aca="false">H30+H31</f>
        <v>-1512.19178082192</v>
      </c>
    </row>
    <row r="35" customFormat="false" ht="12.8" hidden="false" customHeight="false" outlineLevel="0" collapsed="false">
      <c r="A35" s="1" t="s">
        <v>41</v>
      </c>
      <c r="E35" s="1" t="s">
        <v>53</v>
      </c>
      <c r="F35" s="10" t="n">
        <f aca="false">F30+B36</f>
        <v>3210</v>
      </c>
      <c r="G35" s="10" t="n">
        <f aca="false">G30+C39</f>
        <v>3210</v>
      </c>
      <c r="H35" s="10" t="n">
        <f aca="false">F35-G35</f>
        <v>0</v>
      </c>
    </row>
    <row r="36" customFormat="false" ht="12.8" hidden="false" customHeight="false" outlineLevel="0" collapsed="false">
      <c r="A36" s="1" t="s">
        <v>53</v>
      </c>
      <c r="B36" s="10" t="n">
        <f aca="false">B10-G26</f>
        <v>710</v>
      </c>
      <c r="C36" s="10"/>
      <c r="E36" s="1" t="s">
        <v>54</v>
      </c>
      <c r="F36" s="10" t="n">
        <f aca="false">F26+B38</f>
        <v>802.191780821918</v>
      </c>
      <c r="G36" s="10" t="n">
        <f aca="false">G26</f>
        <v>802.191780821918</v>
      </c>
      <c r="H36" s="10" t="n">
        <f aca="false">F36-G36</f>
        <v>0</v>
      </c>
    </row>
    <row r="37" customFormat="false" ht="12.8" hidden="false" customHeight="false" outlineLevel="0" collapsed="false">
      <c r="A37" s="1" t="s">
        <v>44</v>
      </c>
      <c r="B37" s="10"/>
      <c r="C37" s="9" t="n">
        <f aca="false">B10</f>
        <v>1512.19178082192</v>
      </c>
      <c r="E37" s="1" t="s">
        <v>56</v>
      </c>
      <c r="F37" s="10" t="n">
        <f aca="false">B37</f>
        <v>0</v>
      </c>
      <c r="H37" s="10" t="n">
        <f aca="false">F37-G37</f>
        <v>0</v>
      </c>
    </row>
    <row r="38" customFormat="false" ht="12.8" hidden="false" customHeight="false" outlineLevel="0" collapsed="false">
      <c r="A38" s="1" t="s">
        <v>54</v>
      </c>
      <c r="B38" s="10" t="n">
        <f aca="false">G26</f>
        <v>802.191780821918</v>
      </c>
      <c r="C38" s="10"/>
      <c r="E38" s="1" t="s">
        <v>44</v>
      </c>
      <c r="F38" s="10"/>
      <c r="G38" s="10" t="n">
        <f aca="false">C37</f>
        <v>1512.19178082192</v>
      </c>
      <c r="H38" s="10" t="n">
        <f aca="false">F38-G38</f>
        <v>-1512.19178082192</v>
      </c>
    </row>
    <row r="39" customFormat="false" ht="12.8" hidden="false" customHeight="false" outlineLevel="0" collapsed="false">
      <c r="A39" s="1" t="s">
        <v>53</v>
      </c>
      <c r="B39" s="10"/>
      <c r="C39" s="10" t="n">
        <v>0</v>
      </c>
      <c r="E39" s="3" t="s">
        <v>58</v>
      </c>
      <c r="H39" s="6" t="n">
        <f aca="false">H35+H36</f>
        <v>0</v>
      </c>
      <c r="I39" s="16" t="n">
        <f aca="false">C8</f>
        <v>0</v>
      </c>
    </row>
    <row r="40" customFormat="false" ht="12.8" hidden="false" customHeight="false" outlineLevel="0" collapsed="false">
      <c r="A40" s="14" t="s">
        <v>57</v>
      </c>
      <c r="B40" s="15" t="n">
        <f aca="false">SUM(B35:B39)</f>
        <v>1512.19178082192</v>
      </c>
      <c r="C40" s="15" t="n">
        <f aca="false">SUM(C35:C39)</f>
        <v>1512.19178082192</v>
      </c>
      <c r="H40" s="10"/>
    </row>
    <row r="43" customFormat="false" ht="12.8" hidden="false" customHeight="false" outlineLevel="0" collapsed="false">
      <c r="A43" s="20" t="s">
        <v>63</v>
      </c>
      <c r="B43" s="20"/>
      <c r="C43" s="20"/>
      <c r="D43" s="20"/>
      <c r="E43" s="20"/>
      <c r="F43" s="20"/>
      <c r="G43" s="20"/>
      <c r="H43" s="20"/>
    </row>
    <row r="44" customFormat="false" ht="12.8" hidden="false" customHeight="false" outlineLevel="0" collapsed="false">
      <c r="A44" s="20" t="s">
        <v>53</v>
      </c>
      <c r="B44" s="21"/>
      <c r="C44" s="21" t="n">
        <f aca="false">C32-B36</f>
        <v>2500</v>
      </c>
      <c r="D44" s="20"/>
      <c r="E44" s="20" t="s">
        <v>53</v>
      </c>
      <c r="F44" s="21" t="n">
        <f aca="false">F25</f>
        <v>2500</v>
      </c>
      <c r="G44" s="21" t="n">
        <f aca="false">G25+C44</f>
        <v>2500</v>
      </c>
      <c r="H44" s="21" t="n">
        <f aca="false">F44-G44</f>
        <v>0</v>
      </c>
    </row>
    <row r="45" customFormat="false" ht="12.8" hidden="false" customHeight="false" outlineLevel="0" collapsed="false">
      <c r="A45" s="20" t="s">
        <v>44</v>
      </c>
      <c r="B45" s="21"/>
      <c r="C45" s="22" t="n">
        <f aca="false">C37</f>
        <v>1512.19178082192</v>
      </c>
      <c r="D45" s="20"/>
      <c r="E45" s="20" t="s">
        <v>54</v>
      </c>
      <c r="F45" s="21" t="n">
        <f aca="false">F26+B46</f>
        <v>802.191780821918</v>
      </c>
      <c r="G45" s="21" t="n">
        <f aca="false">G26</f>
        <v>802.191780821918</v>
      </c>
      <c r="H45" s="21" t="n">
        <f aca="false">F45-G45</f>
        <v>0</v>
      </c>
    </row>
    <row r="46" customFormat="false" ht="12.8" hidden="false" customHeight="false" outlineLevel="0" collapsed="false">
      <c r="A46" s="20" t="s">
        <v>54</v>
      </c>
      <c r="B46" s="21" t="n">
        <f aca="false">B38</f>
        <v>802.191780821918</v>
      </c>
      <c r="C46" s="21"/>
      <c r="D46" s="20"/>
      <c r="E46" s="20" t="s">
        <v>56</v>
      </c>
      <c r="F46" s="21" t="n">
        <v>0</v>
      </c>
      <c r="G46" s="20"/>
      <c r="H46" s="21" t="n">
        <f aca="false">F46-G46</f>
        <v>0</v>
      </c>
    </row>
    <row r="47" customFormat="false" ht="12.8" hidden="false" customHeight="false" outlineLevel="0" collapsed="false">
      <c r="A47" s="20" t="s">
        <v>64</v>
      </c>
      <c r="B47" s="21" t="n">
        <f aca="false">B9</f>
        <v>3210</v>
      </c>
      <c r="C47" s="21"/>
      <c r="D47" s="20"/>
      <c r="E47" s="20"/>
      <c r="F47" s="21"/>
      <c r="G47" s="20"/>
      <c r="H47" s="21"/>
    </row>
    <row r="48" customFormat="false" ht="12.8" hidden="false" customHeight="false" outlineLevel="0" collapsed="false">
      <c r="A48" s="23" t="s">
        <v>57</v>
      </c>
      <c r="B48" s="24" t="n">
        <f aca="false">SUM(B43:B47)</f>
        <v>4012.19178082192</v>
      </c>
      <c r="C48" s="24" t="n">
        <f aca="false">SUM(C43:C47)</f>
        <v>4012.19178082192</v>
      </c>
      <c r="D48" s="20"/>
      <c r="E48" s="20" t="s">
        <v>44</v>
      </c>
      <c r="F48" s="21"/>
      <c r="G48" s="21" t="n">
        <f aca="false">C45</f>
        <v>1512.19178082192</v>
      </c>
      <c r="H48" s="21" t="n">
        <f aca="false">F48-G48</f>
        <v>-1512.19178082192</v>
      </c>
    </row>
    <row r="49" customFormat="false" ht="12.8" hidden="false" customHeight="false" outlineLevel="0" collapsed="false">
      <c r="A49" s="20"/>
      <c r="B49" s="20"/>
      <c r="C49" s="20"/>
      <c r="D49" s="20"/>
      <c r="E49" s="25" t="s">
        <v>58</v>
      </c>
      <c r="F49" s="20"/>
      <c r="G49" s="20"/>
      <c r="H49" s="26" t="n">
        <f aca="false">H44+H45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0.98"/>
    <col collapsed="false" customWidth="true" hidden="false" outlineLevel="0" max="3" min="2" style="1" width="10.39"/>
    <col collapsed="false" customWidth="true" hidden="false" outlineLevel="0" max="4" min="4" style="1" width="11.72"/>
    <col collapsed="false" customWidth="true" hidden="false" outlineLevel="0" max="5" min="5" style="1" width="47.56"/>
    <col collapsed="false" customWidth="true" hidden="false" outlineLevel="0" max="6" min="6" style="1" width="9.26"/>
    <col collapsed="false" customWidth="true" hidden="false" outlineLevel="0" max="7" min="7" style="1" width="9.91"/>
    <col collapsed="false" customWidth="false" hidden="false" outlineLevel="0" max="1021" min="8" style="4" width="11.57"/>
    <col collapsed="false" customWidth="false" hidden="false" outlineLevel="0" max="1023" min="1023" style="4" width="11.57"/>
  </cols>
  <sheetData>
    <row r="1" s="3" customFormat="true" ht="12.8" hidden="false" customHeight="false" outlineLevel="0" collapsed="false">
      <c r="A1" s="3" t="s">
        <v>23</v>
      </c>
      <c r="B1" s="6" t="s">
        <v>24</v>
      </c>
      <c r="C1" s="6" t="s">
        <v>25</v>
      </c>
      <c r="D1" s="6" t="s">
        <v>69</v>
      </c>
      <c r="E1" s="3" t="s">
        <v>26</v>
      </c>
      <c r="G1" s="7"/>
      <c r="AMI1" s="1"/>
      <c r="AMJ1" s="1"/>
    </row>
    <row r="2" customFormat="false" ht="12.8" hidden="false" customHeight="false" outlineLevel="0" collapsed="false">
      <c r="A2" s="1" t="s">
        <v>27</v>
      </c>
      <c r="B2" s="8" t="n">
        <v>1000</v>
      </c>
      <c r="C2" s="9" t="n">
        <f aca="false">B2</f>
        <v>1000</v>
      </c>
      <c r="D2" s="10" t="n">
        <f aca="false">B2</f>
        <v>1000</v>
      </c>
      <c r="F2" s="1" t="s">
        <v>28</v>
      </c>
      <c r="G2" s="11" t="n">
        <v>0.25</v>
      </c>
    </row>
    <row r="3" customFormat="false" ht="12.8" hidden="false" customHeight="false" outlineLevel="0" collapsed="false">
      <c r="A3" s="1" t="s">
        <v>70</v>
      </c>
      <c r="B3" s="12" t="n">
        <v>183</v>
      </c>
      <c r="E3" s="1" t="s">
        <v>65</v>
      </c>
      <c r="F3" s="1" t="s">
        <v>31</v>
      </c>
      <c r="G3" s="10" t="n">
        <f aca="false">$B$2*G2</f>
        <v>250</v>
      </c>
    </row>
    <row r="4" customFormat="false" ht="12.8" hidden="false" customHeight="false" outlineLevel="0" collapsed="false">
      <c r="A4" s="1" t="s">
        <v>71</v>
      </c>
      <c r="B4" s="9" t="n">
        <f aca="false">G3/2</f>
        <v>125</v>
      </c>
      <c r="C4" s="9" t="n">
        <f aca="false">C2-B4</f>
        <v>875</v>
      </c>
      <c r="D4" s="10"/>
      <c r="E4" s="1" t="s">
        <v>33</v>
      </c>
      <c r="F4" s="1" t="s">
        <v>34</v>
      </c>
      <c r="G4" s="13" t="n">
        <v>1</v>
      </c>
    </row>
    <row r="5" customFormat="false" ht="12.8" hidden="false" customHeight="false" outlineLevel="0" collapsed="false">
      <c r="A5" s="1" t="s">
        <v>72</v>
      </c>
      <c r="B5" s="12" t="n">
        <v>90</v>
      </c>
      <c r="C5" s="9"/>
      <c r="D5" s="10"/>
      <c r="G5" s="27"/>
    </row>
    <row r="6" customFormat="false" ht="12.8" hidden="false" customHeight="false" outlineLevel="0" collapsed="false">
      <c r="A6" s="1" t="s">
        <v>73</v>
      </c>
      <c r="B6" s="9" t="n">
        <f aca="false">$G$3*B5/365</f>
        <v>61.6438356164384</v>
      </c>
      <c r="C6" s="9" t="n">
        <f aca="false">C4-B6</f>
        <v>813.356164383562</v>
      </c>
      <c r="D6" s="10"/>
      <c r="E6" s="1" t="s">
        <v>74</v>
      </c>
    </row>
    <row r="7" customFormat="false" ht="12.8" hidden="false" customHeight="false" outlineLevel="0" collapsed="false">
      <c r="A7" s="1" t="s">
        <v>75</v>
      </c>
      <c r="B7" s="8" t="n">
        <v>725</v>
      </c>
      <c r="C7" s="9" t="n">
        <f aca="false">C6-B7</f>
        <v>88.3561643835617</v>
      </c>
      <c r="D7" s="10" t="n">
        <f aca="false">D2-B7</f>
        <v>275</v>
      </c>
      <c r="F7" s="1" t="s">
        <v>76</v>
      </c>
      <c r="G7" s="10" t="n">
        <f aca="false">D7*G2</f>
        <v>68.75</v>
      </c>
    </row>
    <row r="8" customFormat="false" ht="12.8" hidden="false" customHeight="false" outlineLevel="0" collapsed="false">
      <c r="A8" s="1" t="s">
        <v>77</v>
      </c>
      <c r="B8" s="28" t="n">
        <f aca="false">365-B5</f>
        <v>275</v>
      </c>
      <c r="C8" s="9"/>
      <c r="D8" s="10"/>
    </row>
    <row r="9" customFormat="false" ht="12.8" hidden="false" customHeight="false" outlineLevel="0" collapsed="false">
      <c r="A9" s="1" t="s">
        <v>78</v>
      </c>
      <c r="B9" s="9" t="n">
        <f aca="false">$G$7*B8/365</f>
        <v>51.7979452054795</v>
      </c>
      <c r="C9" s="9" t="n">
        <f aca="false">C7-B9</f>
        <v>36.5582191780822</v>
      </c>
      <c r="D9" s="10"/>
      <c r="E9" s="1" t="s">
        <v>79</v>
      </c>
    </row>
    <row r="10" customFormat="false" ht="12.8" hidden="false" customHeight="false" outlineLevel="0" collapsed="false">
      <c r="A10" s="1" t="s">
        <v>80</v>
      </c>
      <c r="B10" s="12" t="n">
        <v>31</v>
      </c>
      <c r="E10" s="1" t="s">
        <v>38</v>
      </c>
    </row>
    <row r="11" customFormat="false" ht="12.8" hidden="false" customHeight="false" outlineLevel="0" collapsed="false">
      <c r="A11" s="1" t="s">
        <v>81</v>
      </c>
      <c r="B11" s="9" t="n">
        <f aca="false">$G$7*B10/365</f>
        <v>5.83904109589041</v>
      </c>
      <c r="C11" s="9" t="n">
        <f aca="false">C9-B11</f>
        <v>30.7191780821918</v>
      </c>
      <c r="E11" s="1" t="s">
        <v>40</v>
      </c>
    </row>
    <row r="12" customFormat="false" ht="12.8" hidden="false" customHeight="false" outlineLevel="0" collapsed="false">
      <c r="A12" s="1" t="s">
        <v>41</v>
      </c>
      <c r="B12" s="9" t="n">
        <f aca="false">C11*$G$4</f>
        <v>30.7191780821918</v>
      </c>
      <c r="C12" s="9" t="n">
        <f aca="false">C11-B12</f>
        <v>0</v>
      </c>
      <c r="E12" s="1" t="s">
        <v>25</v>
      </c>
    </row>
    <row r="13" customFormat="false" ht="12.8" hidden="false" customHeight="false" outlineLevel="0" collapsed="false">
      <c r="A13" s="1" t="s">
        <v>42</v>
      </c>
      <c r="B13" s="8" t="n">
        <v>1400</v>
      </c>
      <c r="E13" s="1" t="s">
        <v>43</v>
      </c>
    </row>
    <row r="14" customFormat="false" ht="12.8" hidden="false" customHeight="false" outlineLevel="0" collapsed="false">
      <c r="A14" s="1" t="s">
        <v>44</v>
      </c>
      <c r="B14" s="9" t="n">
        <f aca="false">B13-B12</f>
        <v>1369.28082191781</v>
      </c>
      <c r="E14" s="1" t="s">
        <v>45</v>
      </c>
    </row>
    <row r="16" customFormat="false" ht="12.8" hidden="false" customHeight="false" outlineLevel="0" collapsed="false">
      <c r="D16" s="10"/>
    </row>
    <row r="17" customFormat="false" ht="12.8" hidden="false" customHeight="false" outlineLevel="0" collapsed="false">
      <c r="A17" s="1" t="s">
        <v>46</v>
      </c>
      <c r="B17" s="1" t="s">
        <v>47</v>
      </c>
      <c r="C17" s="1" t="s">
        <v>48</v>
      </c>
      <c r="F17" s="1" t="s">
        <v>47</v>
      </c>
      <c r="G17" s="1" t="s">
        <v>48</v>
      </c>
      <c r="H17" s="1" t="s">
        <v>49</v>
      </c>
      <c r="I17" s="1" t="s">
        <v>50</v>
      </c>
    </row>
    <row r="18" customFormat="false" ht="12.8" hidden="false" customHeight="false" outlineLevel="0" collapsed="false">
      <c r="E18" s="1" t="s">
        <v>51</v>
      </c>
      <c r="G18" s="10" t="n">
        <f aca="false">$B$2</f>
        <v>1000</v>
      </c>
      <c r="H18" s="10" t="n">
        <f aca="false">F18-G18</f>
        <v>-1000</v>
      </c>
    </row>
    <row r="19" customFormat="false" ht="12.8" hidden="false" customHeight="false" outlineLevel="0" collapsed="false">
      <c r="A19" s="1" t="s">
        <v>66</v>
      </c>
      <c r="E19" s="1" t="s">
        <v>53</v>
      </c>
      <c r="F19" s="10" t="n">
        <f aca="false">$B$2</f>
        <v>1000</v>
      </c>
      <c r="H19" s="10" t="n">
        <f aca="false">F19-G19</f>
        <v>1000</v>
      </c>
    </row>
    <row r="20" customFormat="false" ht="12.8" hidden="false" customHeight="false" outlineLevel="0" collapsed="false">
      <c r="A20" s="1" t="s">
        <v>54</v>
      </c>
      <c r="C20" s="10" t="n">
        <f aca="false">B4</f>
        <v>125</v>
      </c>
      <c r="E20" s="1" t="s">
        <v>54</v>
      </c>
      <c r="G20" s="10" t="n">
        <f aca="false">C20</f>
        <v>125</v>
      </c>
      <c r="H20" s="10" t="n">
        <f aca="false">F20-G20</f>
        <v>-125</v>
      </c>
    </row>
    <row r="21" customFormat="false" ht="12.8" hidden="false" customHeight="false" outlineLevel="0" collapsed="false">
      <c r="A21" s="1" t="s">
        <v>55</v>
      </c>
      <c r="B21" s="9" t="n">
        <f aca="false">B4</f>
        <v>125</v>
      </c>
      <c r="E21" s="1" t="s">
        <v>56</v>
      </c>
      <c r="F21" s="10" t="n">
        <f aca="false">B21</f>
        <v>125</v>
      </c>
      <c r="H21" s="10" t="n">
        <f aca="false">F21-G21</f>
        <v>125</v>
      </c>
    </row>
    <row r="22" customFormat="false" ht="12.8" hidden="false" customHeight="false" outlineLevel="0" collapsed="false">
      <c r="A22" s="14" t="s">
        <v>57</v>
      </c>
      <c r="B22" s="15" t="n">
        <f aca="false">SUM(B19:B21)</f>
        <v>125</v>
      </c>
      <c r="C22" s="15" t="n">
        <f aca="false">SUM(C19:C21)</f>
        <v>125</v>
      </c>
      <c r="E22" s="3" t="s">
        <v>58</v>
      </c>
      <c r="H22" s="6" t="n">
        <f aca="false">H19+H20</f>
        <v>875</v>
      </c>
      <c r="I22" s="16" t="n">
        <f aca="false">C4</f>
        <v>875</v>
      </c>
    </row>
    <row r="23" customFormat="false" ht="12.8" hidden="false" customHeight="false" outlineLevel="0" collapsed="false">
      <c r="G23" s="10"/>
      <c r="H23" s="10"/>
    </row>
    <row r="24" customFormat="false" ht="12.8" hidden="false" customHeight="false" outlineLevel="0" collapsed="false">
      <c r="A24" s="1" t="s">
        <v>67</v>
      </c>
      <c r="E24" s="1" t="s">
        <v>53</v>
      </c>
      <c r="F24" s="10" t="n">
        <f aca="false">F19</f>
        <v>1000</v>
      </c>
      <c r="H24" s="10" t="n">
        <f aca="false">F24-G24</f>
        <v>1000</v>
      </c>
    </row>
    <row r="25" customFormat="false" ht="12.8" hidden="false" customHeight="false" outlineLevel="0" collapsed="false">
      <c r="A25" s="1" t="s">
        <v>54</v>
      </c>
      <c r="C25" s="10" t="n">
        <f aca="false">B6</f>
        <v>61.6438356164384</v>
      </c>
      <c r="E25" s="1" t="s">
        <v>54</v>
      </c>
      <c r="G25" s="10" t="n">
        <f aca="false">G20+C25</f>
        <v>186.643835616438</v>
      </c>
      <c r="H25" s="10" t="n">
        <f aca="false">F25-G25</f>
        <v>-186.643835616438</v>
      </c>
    </row>
    <row r="26" customFormat="false" ht="12.8" hidden="false" customHeight="false" outlineLevel="0" collapsed="false">
      <c r="A26" s="1" t="s">
        <v>55</v>
      </c>
      <c r="B26" s="9" t="n">
        <f aca="false">B6</f>
        <v>61.6438356164384</v>
      </c>
      <c r="E26" s="1" t="s">
        <v>56</v>
      </c>
      <c r="F26" s="10" t="n">
        <f aca="false">B26</f>
        <v>61.6438356164384</v>
      </c>
      <c r="H26" s="10" t="n">
        <f aca="false">F26-G26</f>
        <v>61.6438356164384</v>
      </c>
    </row>
    <row r="27" customFormat="false" ht="12.8" hidden="false" customHeight="false" outlineLevel="0" collapsed="false">
      <c r="A27" s="14" t="s">
        <v>57</v>
      </c>
      <c r="B27" s="15" t="n">
        <f aca="false">SUM(B24:B26)</f>
        <v>61.6438356164384</v>
      </c>
      <c r="C27" s="15" t="n">
        <f aca="false">SUM(C24:C26)</f>
        <v>61.6438356164384</v>
      </c>
      <c r="E27" s="3" t="s">
        <v>58</v>
      </c>
      <c r="H27" s="6" t="n">
        <f aca="false">H24+H25</f>
        <v>813.356164383562</v>
      </c>
      <c r="I27" s="16" t="n">
        <f aca="false">C6</f>
        <v>813.356164383562</v>
      </c>
    </row>
    <row r="29" customFormat="false" ht="12.8" hidden="false" customHeight="false" outlineLevel="0" collapsed="false">
      <c r="A29" s="1" t="s">
        <v>75</v>
      </c>
      <c r="E29" s="1" t="s">
        <v>53</v>
      </c>
      <c r="F29" s="10" t="n">
        <f aca="false">F24</f>
        <v>1000</v>
      </c>
      <c r="G29" s="10" t="n">
        <f aca="false">C30</f>
        <v>725</v>
      </c>
      <c r="H29" s="10" t="n">
        <f aca="false">F29-G29</f>
        <v>275</v>
      </c>
    </row>
    <row r="30" customFormat="false" ht="12.8" hidden="false" customHeight="false" outlineLevel="0" collapsed="false">
      <c r="A30" s="1" t="s">
        <v>53</v>
      </c>
      <c r="C30" s="10" t="n">
        <f aca="false">B7</f>
        <v>725</v>
      </c>
      <c r="E30" s="1" t="s">
        <v>54</v>
      </c>
      <c r="G30" s="10" t="n">
        <f aca="false">G25</f>
        <v>186.643835616438</v>
      </c>
      <c r="H30" s="10" t="n">
        <f aca="false">F30-G30</f>
        <v>-186.643835616438</v>
      </c>
    </row>
    <row r="31" customFormat="false" ht="12.8" hidden="false" customHeight="false" outlineLevel="0" collapsed="false">
      <c r="A31" s="1" t="s">
        <v>82</v>
      </c>
      <c r="B31" s="29" t="n">
        <f aca="false">B7</f>
        <v>725</v>
      </c>
      <c r="E31" s="1" t="s">
        <v>56</v>
      </c>
      <c r="F31" s="10" t="n">
        <f aca="false">F26</f>
        <v>61.6438356164384</v>
      </c>
      <c r="H31" s="10" t="n">
        <f aca="false">F31-G31</f>
        <v>61.6438356164384</v>
      </c>
    </row>
    <row r="32" customFormat="false" ht="12.8" hidden="false" customHeight="false" outlineLevel="0" collapsed="false">
      <c r="A32" s="14" t="s">
        <v>57</v>
      </c>
      <c r="B32" s="15" t="n">
        <f aca="false">SUM(B29:B31)</f>
        <v>725</v>
      </c>
      <c r="C32" s="15" t="n">
        <f aca="false">SUM(C29:C31)</f>
        <v>725</v>
      </c>
      <c r="E32" s="3" t="s">
        <v>58</v>
      </c>
      <c r="H32" s="6" t="n">
        <f aca="false">H29+H30</f>
        <v>88.3561643835616</v>
      </c>
      <c r="I32" s="16" t="n">
        <f aca="false">C7</f>
        <v>88.3561643835617</v>
      </c>
    </row>
    <row r="33" customFormat="false" ht="12.8" hidden="false" customHeight="false" outlineLevel="0" collapsed="false">
      <c r="A33" s="14"/>
      <c r="B33" s="15"/>
      <c r="C33" s="15"/>
    </row>
    <row r="34" customFormat="false" ht="12.8" hidden="false" customHeight="false" outlineLevel="0" collapsed="false">
      <c r="A34" s="1" t="s">
        <v>83</v>
      </c>
      <c r="E34" s="1" t="s">
        <v>53</v>
      </c>
      <c r="F34" s="10" t="n">
        <f aca="false">F29</f>
        <v>1000</v>
      </c>
      <c r="G34" s="10" t="n">
        <f aca="false">G29</f>
        <v>725</v>
      </c>
      <c r="H34" s="10" t="n">
        <f aca="false">F34-G34</f>
        <v>275</v>
      </c>
    </row>
    <row r="35" customFormat="false" ht="12.8" hidden="false" customHeight="false" outlineLevel="0" collapsed="false">
      <c r="A35" s="1" t="s">
        <v>54</v>
      </c>
      <c r="C35" s="10" t="n">
        <f aca="false">B9</f>
        <v>51.7979452054795</v>
      </c>
      <c r="E35" s="1" t="s">
        <v>54</v>
      </c>
      <c r="G35" s="10" t="n">
        <f aca="false">G30+C35</f>
        <v>238.441780821918</v>
      </c>
      <c r="H35" s="10" t="n">
        <f aca="false">F35-G35</f>
        <v>-238.441780821918</v>
      </c>
    </row>
    <row r="36" customFormat="false" ht="12.8" hidden="false" customHeight="false" outlineLevel="0" collapsed="false">
      <c r="A36" s="1" t="s">
        <v>55</v>
      </c>
      <c r="B36" s="9" t="n">
        <f aca="false">B9</f>
        <v>51.7979452054795</v>
      </c>
      <c r="E36" s="1" t="s">
        <v>56</v>
      </c>
      <c r="F36" s="10" t="n">
        <f aca="false">F31+B36</f>
        <v>113.441780821918</v>
      </c>
      <c r="H36" s="10" t="n">
        <f aca="false">F36-G36</f>
        <v>113.441780821918</v>
      </c>
    </row>
    <row r="37" customFormat="false" ht="12.8" hidden="false" customHeight="false" outlineLevel="0" collapsed="false">
      <c r="A37" s="14" t="s">
        <v>57</v>
      </c>
      <c r="B37" s="15" t="n">
        <f aca="false">SUM(B34:B36)</f>
        <v>51.7979452054795</v>
      </c>
      <c r="C37" s="15" t="n">
        <f aca="false">SUM(C34:C36)</f>
        <v>51.7979452054795</v>
      </c>
      <c r="E37" s="3" t="s">
        <v>58</v>
      </c>
      <c r="H37" s="6" t="n">
        <f aca="false">H34+H35</f>
        <v>36.5582191780822</v>
      </c>
      <c r="I37" s="16" t="n">
        <f aca="false">C9</f>
        <v>36.5582191780822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23"/>
    <col collapsed="false" customWidth="true" hidden="false" outlineLevel="0" max="3" min="2" style="1" width="10.39"/>
    <col collapsed="false" customWidth="true" hidden="false" outlineLevel="0" max="4" min="4" style="1" width="11.72"/>
    <col collapsed="false" customWidth="true" hidden="false" outlineLevel="0" max="5" min="5" style="1" width="47.56"/>
    <col collapsed="false" customWidth="true" hidden="false" outlineLevel="0" max="6" min="6" style="1" width="9.26"/>
    <col collapsed="false" customWidth="true" hidden="false" outlineLevel="0" max="7" min="7" style="1" width="9.91"/>
    <col collapsed="false" customWidth="false" hidden="false" outlineLevel="0" max="8" min="8" style="4" width="11.57"/>
    <col collapsed="false" customWidth="false" hidden="false" outlineLevel="0" max="1021" min="10" style="4" width="11.57"/>
    <col collapsed="false" customWidth="false" hidden="false" outlineLevel="0" max="1023" min="1023" style="4" width="11.57"/>
  </cols>
  <sheetData>
    <row r="1" s="3" customFormat="true" ht="12.8" hidden="false" customHeight="false" outlineLevel="0" collapsed="false">
      <c r="A1" s="3" t="s">
        <v>23</v>
      </c>
      <c r="B1" s="6" t="s">
        <v>24</v>
      </c>
      <c r="C1" s="6" t="s">
        <v>25</v>
      </c>
      <c r="D1" s="6"/>
      <c r="E1" s="3" t="s">
        <v>26</v>
      </c>
      <c r="G1" s="7"/>
      <c r="AMI1" s="1"/>
      <c r="AMJ1" s="1"/>
    </row>
    <row r="2" customFormat="false" ht="12.8" hidden="false" customHeight="false" outlineLevel="0" collapsed="false">
      <c r="A2" s="1" t="s">
        <v>27</v>
      </c>
      <c r="B2" s="8" t="n">
        <v>2500</v>
      </c>
      <c r="C2" s="9" t="n">
        <f aca="false">B2</f>
        <v>2500</v>
      </c>
      <c r="D2" s="10"/>
      <c r="F2" s="1" t="s">
        <v>28</v>
      </c>
      <c r="G2" s="11" t="n">
        <v>0.24</v>
      </c>
    </row>
    <row r="3" customFormat="false" ht="12.8" hidden="false" customHeight="false" outlineLevel="0" collapsed="false">
      <c r="A3" s="1" t="s">
        <v>29</v>
      </c>
      <c r="B3" s="12" t="n">
        <v>92</v>
      </c>
      <c r="E3" s="1" t="s">
        <v>30</v>
      </c>
      <c r="F3" s="1" t="s">
        <v>31</v>
      </c>
      <c r="G3" s="10" t="n">
        <f aca="false">$B$2*G2</f>
        <v>600</v>
      </c>
    </row>
    <row r="4" customFormat="false" ht="12.8" hidden="false" customHeight="false" outlineLevel="0" collapsed="false">
      <c r="A4" s="1" t="s">
        <v>32</v>
      </c>
      <c r="B4" s="9" t="n">
        <f aca="false">$G$3*B3/Intro!$N$1</f>
        <v>151.232876712329</v>
      </c>
      <c r="C4" s="9" t="n">
        <f aca="false">C2-B4</f>
        <v>2348.76712328767</v>
      </c>
      <c r="D4" s="10"/>
      <c r="E4" s="1" t="s">
        <v>84</v>
      </c>
      <c r="F4" s="1" t="s">
        <v>34</v>
      </c>
      <c r="G4" s="13" t="n">
        <v>0.2</v>
      </c>
    </row>
    <row r="5" customFormat="false" ht="12.8" hidden="false" customHeight="false" outlineLevel="0" collapsed="false">
      <c r="A5" s="1" t="s">
        <v>35</v>
      </c>
      <c r="B5" s="9" t="n">
        <f aca="false">$G$3</f>
        <v>600</v>
      </c>
      <c r="C5" s="9" t="n">
        <f aca="false">C4-B5</f>
        <v>1748.76712328767</v>
      </c>
      <c r="D5" s="10"/>
      <c r="E5" s="1" t="s">
        <v>36</v>
      </c>
    </row>
    <row r="6" customFormat="false" ht="12.8" hidden="false" customHeight="false" outlineLevel="0" collapsed="false">
      <c r="A6" s="1" t="s">
        <v>37</v>
      </c>
      <c r="B6" s="12" t="n">
        <v>212</v>
      </c>
      <c r="E6" s="1" t="s">
        <v>38</v>
      </c>
    </row>
    <row r="7" customFormat="false" ht="12.8" hidden="false" customHeight="false" outlineLevel="0" collapsed="false">
      <c r="A7" s="1" t="s">
        <v>39</v>
      </c>
      <c r="B7" s="9" t="n">
        <f aca="false">$G$3*B6/365</f>
        <v>348.493150684932</v>
      </c>
      <c r="C7" s="9" t="n">
        <f aca="false">C5-B7</f>
        <v>1400.27397260274</v>
      </c>
      <c r="E7" s="1" t="s">
        <v>40</v>
      </c>
    </row>
    <row r="8" customFormat="false" ht="12.8" hidden="false" customHeight="false" outlineLevel="0" collapsed="false">
      <c r="A8" s="1" t="s">
        <v>85</v>
      </c>
      <c r="B8" s="9" t="n">
        <f aca="false">C7*$G$4</f>
        <v>280.054794520548</v>
      </c>
      <c r="C8" s="9" t="n">
        <f aca="false">C7-B8</f>
        <v>1120.21917808219</v>
      </c>
      <c r="E8" s="1" t="s">
        <v>25</v>
      </c>
    </row>
    <row r="9" customFormat="false" ht="12.8" hidden="false" customHeight="false" outlineLevel="0" collapsed="false">
      <c r="A9" s="1" t="s">
        <v>42</v>
      </c>
      <c r="B9" s="8" t="n">
        <v>550</v>
      </c>
      <c r="E9" s="1" t="s">
        <v>43</v>
      </c>
    </row>
    <row r="10" customFormat="false" ht="12.8" hidden="false" customHeight="false" outlineLevel="0" collapsed="false">
      <c r="A10" s="1" t="s">
        <v>44</v>
      </c>
      <c r="B10" s="9" t="n">
        <f aca="false">B9-B8</f>
        <v>269.945205479452</v>
      </c>
      <c r="E10" s="1" t="s">
        <v>45</v>
      </c>
    </row>
    <row r="12" customFormat="false" ht="12.8" hidden="false" customHeight="false" outlineLevel="0" collapsed="false">
      <c r="D12" s="10"/>
    </row>
    <row r="13" customFormat="false" ht="12.8" hidden="false" customHeight="false" outlineLevel="0" collapsed="false">
      <c r="A13" s="1" t="s">
        <v>46</v>
      </c>
      <c r="B13" s="1" t="s">
        <v>47</v>
      </c>
      <c r="C13" s="1" t="s">
        <v>48</v>
      </c>
      <c r="F13" s="1" t="s">
        <v>47</v>
      </c>
      <c r="G13" s="1" t="s">
        <v>48</v>
      </c>
      <c r="H13" s="1" t="s">
        <v>49</v>
      </c>
    </row>
    <row r="14" customFormat="false" ht="12.8" hidden="false" customHeight="false" outlineLevel="0" collapsed="false">
      <c r="E14" s="1" t="s">
        <v>51</v>
      </c>
      <c r="G14" s="10" t="n">
        <f aca="false">$B$2</f>
        <v>2500</v>
      </c>
      <c r="H14" s="10" t="n">
        <f aca="false">F14-G14</f>
        <v>-2500</v>
      </c>
    </row>
    <row r="15" customFormat="false" ht="12.8" hidden="false" customHeight="false" outlineLevel="0" collapsed="false">
      <c r="A15" s="1" t="s">
        <v>52</v>
      </c>
      <c r="E15" s="1" t="s">
        <v>53</v>
      </c>
      <c r="F15" s="10" t="n">
        <f aca="false">$B$2</f>
        <v>2500</v>
      </c>
      <c r="H15" s="10" t="n">
        <f aca="false">F15-G15</f>
        <v>2500</v>
      </c>
    </row>
    <row r="16" customFormat="false" ht="12.8" hidden="false" customHeight="false" outlineLevel="0" collapsed="false">
      <c r="A16" s="1" t="s">
        <v>54</v>
      </c>
      <c r="C16" s="10" t="n">
        <f aca="false">B4</f>
        <v>151.232876712329</v>
      </c>
      <c r="E16" s="1" t="s">
        <v>54</v>
      </c>
      <c r="G16" s="10" t="n">
        <f aca="false">C16</f>
        <v>151.232876712329</v>
      </c>
      <c r="H16" s="10" t="n">
        <f aca="false">F16-G16</f>
        <v>-151.232876712329</v>
      </c>
    </row>
    <row r="17" customFormat="false" ht="12.8" hidden="false" customHeight="false" outlineLevel="0" collapsed="false">
      <c r="A17" s="1" t="s">
        <v>55</v>
      </c>
      <c r="B17" s="9" t="n">
        <f aca="false">B4</f>
        <v>151.232876712329</v>
      </c>
      <c r="E17" s="1" t="s">
        <v>56</v>
      </c>
      <c r="F17" s="10" t="n">
        <f aca="false">B17</f>
        <v>151.232876712329</v>
      </c>
      <c r="H17" s="10" t="n">
        <f aca="false">F17-G17</f>
        <v>151.232876712329</v>
      </c>
    </row>
    <row r="18" customFormat="false" ht="12.8" hidden="false" customHeight="false" outlineLevel="0" collapsed="false">
      <c r="A18" s="14" t="s">
        <v>57</v>
      </c>
      <c r="B18" s="15" t="n">
        <f aca="false">SUM(B15:B17)</f>
        <v>151.232876712329</v>
      </c>
      <c r="C18" s="15" t="n">
        <f aca="false">SUM(C15:C17)</f>
        <v>151.232876712329</v>
      </c>
      <c r="E18" s="3" t="s">
        <v>58</v>
      </c>
      <c r="H18" s="6" t="n">
        <f aca="false">H15+H16</f>
        <v>2348.76712328767</v>
      </c>
    </row>
    <row r="19" customFormat="false" ht="12.8" hidden="false" customHeight="false" outlineLevel="0" collapsed="false">
      <c r="G19" s="10"/>
      <c r="H19" s="10"/>
    </row>
    <row r="20" customFormat="false" ht="12.8" hidden="false" customHeight="false" outlineLevel="0" collapsed="false">
      <c r="A20" s="1" t="s">
        <v>59</v>
      </c>
      <c r="E20" s="1" t="s">
        <v>53</v>
      </c>
      <c r="F20" s="10" t="n">
        <f aca="false">$B$2</f>
        <v>2500</v>
      </c>
      <c r="H20" s="10" t="n">
        <f aca="false">F20-G20</f>
        <v>2500</v>
      </c>
    </row>
    <row r="21" customFormat="false" ht="12.8" hidden="false" customHeight="false" outlineLevel="0" collapsed="false">
      <c r="A21" s="1" t="s">
        <v>54</v>
      </c>
      <c r="C21" s="10" t="n">
        <f aca="false">B5</f>
        <v>600</v>
      </c>
      <c r="E21" s="1" t="s">
        <v>54</v>
      </c>
      <c r="G21" s="10" t="n">
        <f aca="false">G16+C21</f>
        <v>751.232876712329</v>
      </c>
      <c r="H21" s="10" t="n">
        <f aca="false">F21-G21</f>
        <v>-751.232876712329</v>
      </c>
    </row>
    <row r="22" customFormat="false" ht="12.8" hidden="false" customHeight="false" outlineLevel="0" collapsed="false">
      <c r="A22" s="1" t="s">
        <v>55</v>
      </c>
      <c r="B22" s="9" t="n">
        <f aca="false">B5</f>
        <v>600</v>
      </c>
      <c r="E22" s="1" t="s">
        <v>56</v>
      </c>
      <c r="F22" s="10" t="n">
        <f aca="false">B22</f>
        <v>600</v>
      </c>
      <c r="H22" s="10" t="n">
        <f aca="false">F22-G22</f>
        <v>600</v>
      </c>
    </row>
    <row r="23" customFormat="false" ht="12.8" hidden="false" customHeight="false" outlineLevel="0" collapsed="false">
      <c r="A23" s="14" t="s">
        <v>57</v>
      </c>
      <c r="B23" s="15" t="n">
        <f aca="false">SUM(B20:B22)</f>
        <v>600</v>
      </c>
      <c r="C23" s="15" t="n">
        <f aca="false">SUM(C20:C22)</f>
        <v>600</v>
      </c>
      <c r="E23" s="3" t="s">
        <v>58</v>
      </c>
      <c r="H23" s="6" t="n">
        <f aca="false">H20+H21</f>
        <v>1748.76712328767</v>
      </c>
    </row>
    <row r="25" customFormat="false" ht="12.8" hidden="false" customHeight="false" outlineLevel="0" collapsed="false">
      <c r="A25" s="1" t="s">
        <v>60</v>
      </c>
      <c r="E25" s="1" t="s">
        <v>53</v>
      </c>
      <c r="F25" s="10" t="n">
        <f aca="false">$B$2</f>
        <v>2500</v>
      </c>
      <c r="H25" s="10" t="n">
        <f aca="false">F25-G25</f>
        <v>2500</v>
      </c>
    </row>
    <row r="26" customFormat="false" ht="12.8" hidden="false" customHeight="false" outlineLevel="0" collapsed="false">
      <c r="A26" s="1" t="s">
        <v>54</v>
      </c>
      <c r="C26" s="10" t="n">
        <f aca="false">B7</f>
        <v>348.493150684932</v>
      </c>
      <c r="E26" s="1" t="s">
        <v>54</v>
      </c>
      <c r="G26" s="10" t="n">
        <f aca="false">G21+C26</f>
        <v>1099.72602739726</v>
      </c>
      <c r="H26" s="10" t="n">
        <f aca="false">F26-G26</f>
        <v>-1099.72602739726</v>
      </c>
    </row>
    <row r="27" customFormat="false" ht="12.8" hidden="false" customHeight="false" outlineLevel="0" collapsed="false">
      <c r="A27" s="1" t="s">
        <v>55</v>
      </c>
      <c r="B27" s="9" t="n">
        <f aca="false">B7</f>
        <v>348.493150684932</v>
      </c>
      <c r="E27" s="1" t="s">
        <v>56</v>
      </c>
      <c r="F27" s="10" t="n">
        <f aca="false">B27</f>
        <v>348.493150684932</v>
      </c>
      <c r="H27" s="10" t="n">
        <f aca="false">F27-G27</f>
        <v>348.493150684932</v>
      </c>
    </row>
    <row r="28" customFormat="false" ht="12.8" hidden="false" customHeight="false" outlineLevel="0" collapsed="false">
      <c r="A28" s="14" t="s">
        <v>57</v>
      </c>
      <c r="B28" s="15" t="n">
        <f aca="false">SUM(B25:B27)</f>
        <v>348.493150684932</v>
      </c>
      <c r="C28" s="15" t="n">
        <f aca="false">SUM(C25:C27)</f>
        <v>348.493150684932</v>
      </c>
      <c r="E28" s="3" t="s">
        <v>58</v>
      </c>
      <c r="H28" s="6" t="n">
        <f aca="false">H25+H26</f>
        <v>1400.27397260274</v>
      </c>
    </row>
    <row r="29" customFormat="false" ht="12.8" hidden="false" customHeight="false" outlineLevel="0" collapsed="false">
      <c r="A29" s="14"/>
      <c r="B29" s="15"/>
      <c r="C29" s="15"/>
    </row>
    <row r="30" customFormat="false" ht="12.8" hidden="false" customHeight="false" outlineLevel="0" collapsed="false">
      <c r="A30" s="1" t="s">
        <v>61</v>
      </c>
      <c r="E30" s="1" t="s">
        <v>53</v>
      </c>
      <c r="F30" s="10" t="n">
        <f aca="false">$B$2</f>
        <v>2500</v>
      </c>
      <c r="G30" s="10" t="n">
        <f aca="false">C32</f>
        <v>550</v>
      </c>
      <c r="H30" s="10" t="n">
        <f aca="false">F30-G30</f>
        <v>1950</v>
      </c>
    </row>
    <row r="31" customFormat="false" ht="12.8" hidden="false" customHeight="false" outlineLevel="0" collapsed="false">
      <c r="A31" s="1" t="s">
        <v>62</v>
      </c>
      <c r="B31" s="10" t="n">
        <f aca="false">B9</f>
        <v>550</v>
      </c>
      <c r="C31" s="10"/>
      <c r="E31" s="1" t="s">
        <v>54</v>
      </c>
      <c r="G31" s="10" t="n">
        <f aca="false">G26</f>
        <v>1099.72602739726</v>
      </c>
      <c r="H31" s="10" t="n">
        <f aca="false">F31-G31</f>
        <v>-1099.72602739726</v>
      </c>
    </row>
    <row r="32" customFormat="false" ht="12.8" hidden="false" customHeight="false" outlineLevel="0" collapsed="false">
      <c r="A32" s="1" t="s">
        <v>53</v>
      </c>
      <c r="B32" s="10"/>
      <c r="C32" s="10" t="n">
        <f aca="false">B9</f>
        <v>550</v>
      </c>
      <c r="E32" s="1" t="s">
        <v>56</v>
      </c>
      <c r="F32" s="10" t="n">
        <f aca="false">B32</f>
        <v>0</v>
      </c>
      <c r="H32" s="10" t="n">
        <f aca="false">F32-G32</f>
        <v>0</v>
      </c>
    </row>
    <row r="33" customFormat="false" ht="12.8" hidden="false" customHeight="false" outlineLevel="0" collapsed="false">
      <c r="A33" s="14" t="s">
        <v>57</v>
      </c>
      <c r="B33" s="15" t="n">
        <f aca="false">SUM(B30:B32)</f>
        <v>550</v>
      </c>
      <c r="C33" s="15" t="n">
        <f aca="false">SUM(C30:C32)</f>
        <v>550</v>
      </c>
      <c r="E33" s="3" t="s">
        <v>58</v>
      </c>
      <c r="H33" s="6" t="n">
        <f aca="false">H30+H31</f>
        <v>850.27397260274</v>
      </c>
      <c r="I33" s="10"/>
    </row>
    <row r="35" customFormat="false" ht="12.8" hidden="false" customHeight="false" outlineLevel="0" collapsed="false">
      <c r="A35" s="1" t="s">
        <v>41</v>
      </c>
      <c r="E35" s="1" t="s">
        <v>53</v>
      </c>
      <c r="F35" s="10" t="n">
        <f aca="false">F30+B36</f>
        <v>2550</v>
      </c>
      <c r="G35" s="10" t="n">
        <f aca="false">G30+C39</f>
        <v>550</v>
      </c>
      <c r="H35" s="10" t="n">
        <f aca="false">F35-G35</f>
        <v>2000</v>
      </c>
    </row>
    <row r="36" customFormat="false" ht="12.8" hidden="false" customHeight="false" outlineLevel="0" collapsed="false">
      <c r="A36" s="1" t="s">
        <v>53</v>
      </c>
      <c r="B36" s="10" t="n">
        <f aca="false">B10-G26*G4</f>
        <v>49.9999999999999</v>
      </c>
      <c r="C36" s="10"/>
      <c r="E36" s="1" t="s">
        <v>54</v>
      </c>
      <c r="F36" s="10" t="n">
        <f aca="false">F26+B38</f>
        <v>219.945205479452</v>
      </c>
      <c r="G36" s="10" t="n">
        <f aca="false">G26</f>
        <v>1099.72602739726</v>
      </c>
      <c r="H36" s="10" t="n">
        <f aca="false">F36-G36</f>
        <v>-879.780821917808</v>
      </c>
    </row>
    <row r="37" customFormat="false" ht="12.8" hidden="false" customHeight="false" outlineLevel="0" collapsed="false">
      <c r="A37" s="1" t="s">
        <v>44</v>
      </c>
      <c r="B37" s="10"/>
      <c r="C37" s="9" t="n">
        <f aca="false">B10</f>
        <v>269.945205479452</v>
      </c>
      <c r="E37" s="1" t="s">
        <v>56</v>
      </c>
      <c r="F37" s="10" t="n">
        <f aca="false">B37</f>
        <v>0</v>
      </c>
      <c r="H37" s="10" t="n">
        <f aca="false">F37-G37</f>
        <v>0</v>
      </c>
    </row>
    <row r="38" customFormat="false" ht="12.8" hidden="false" customHeight="false" outlineLevel="0" collapsed="false">
      <c r="A38" s="1" t="s">
        <v>54</v>
      </c>
      <c r="B38" s="10" t="n">
        <f aca="false">G26*G4</f>
        <v>219.945205479452</v>
      </c>
      <c r="C38" s="10"/>
      <c r="E38" s="1" t="s">
        <v>44</v>
      </c>
      <c r="F38" s="10"/>
      <c r="G38" s="10" t="n">
        <f aca="false">C37</f>
        <v>269.945205479452</v>
      </c>
      <c r="H38" s="10" t="n">
        <f aca="false">F38-G38</f>
        <v>-269.945205479452</v>
      </c>
    </row>
    <row r="39" customFormat="false" ht="12.8" hidden="false" customHeight="false" outlineLevel="0" collapsed="false">
      <c r="A39" s="1" t="s">
        <v>53</v>
      </c>
      <c r="B39" s="10"/>
      <c r="C39" s="10" t="n">
        <v>0</v>
      </c>
      <c r="E39" s="3" t="s">
        <v>58</v>
      </c>
      <c r="H39" s="6" t="n">
        <f aca="false">H35+H36</f>
        <v>1120.21917808219</v>
      </c>
    </row>
    <row r="40" customFormat="false" ht="12.8" hidden="false" customHeight="false" outlineLevel="0" collapsed="false">
      <c r="A40" s="14" t="s">
        <v>57</v>
      </c>
      <c r="B40" s="15" t="n">
        <f aca="false">SUM(B35:B39)</f>
        <v>269.945205479452</v>
      </c>
      <c r="C40" s="15" t="n">
        <f aca="false">SUM(C35:C39)</f>
        <v>269.945205479452</v>
      </c>
    </row>
    <row r="42" customFormat="false" ht="12.8" hidden="false" customHeight="false" outlineLevel="0" collapsed="false">
      <c r="A42" s="1" t="s">
        <v>63</v>
      </c>
    </row>
    <row r="43" customFormat="false" ht="12.8" hidden="false" customHeight="false" outlineLevel="0" collapsed="false">
      <c r="A43" s="1" t="s">
        <v>53</v>
      </c>
      <c r="B43" s="10"/>
      <c r="C43" s="10" t="n">
        <f aca="false">C32-B36</f>
        <v>500</v>
      </c>
      <c r="E43" s="1" t="s">
        <v>53</v>
      </c>
      <c r="F43" s="10" t="n">
        <f aca="false">F25</f>
        <v>2500</v>
      </c>
      <c r="G43" s="10" t="n">
        <f aca="false">G25+C43</f>
        <v>500</v>
      </c>
      <c r="H43" s="10" t="n">
        <f aca="false">F43-G43</f>
        <v>2000</v>
      </c>
    </row>
    <row r="44" customFormat="false" ht="12.8" hidden="false" customHeight="false" outlineLevel="0" collapsed="false">
      <c r="A44" s="1" t="s">
        <v>44</v>
      </c>
      <c r="B44" s="10"/>
      <c r="C44" s="9" t="n">
        <f aca="false">C37</f>
        <v>269.945205479452</v>
      </c>
      <c r="E44" s="1" t="s">
        <v>54</v>
      </c>
      <c r="F44" s="10" t="n">
        <f aca="false">F26+B45</f>
        <v>219.945205479452</v>
      </c>
      <c r="G44" s="10" t="n">
        <f aca="false">G26</f>
        <v>1099.72602739726</v>
      </c>
      <c r="H44" s="10" t="n">
        <f aca="false">F44-G44</f>
        <v>-879.780821917808</v>
      </c>
    </row>
    <row r="45" customFormat="false" ht="12.8" hidden="false" customHeight="false" outlineLevel="0" collapsed="false">
      <c r="A45" s="1" t="s">
        <v>54</v>
      </c>
      <c r="B45" s="10" t="n">
        <f aca="false">B38</f>
        <v>219.945205479452</v>
      </c>
      <c r="C45" s="10"/>
      <c r="E45" s="1" t="s">
        <v>56</v>
      </c>
      <c r="F45" s="10" t="n">
        <v>0</v>
      </c>
      <c r="H45" s="10" t="n">
        <f aca="false">F45-G45</f>
        <v>0</v>
      </c>
    </row>
    <row r="46" customFormat="false" ht="12.8" hidden="false" customHeight="false" outlineLevel="0" collapsed="false">
      <c r="A46" s="1" t="s">
        <v>64</v>
      </c>
      <c r="B46" s="10" t="n">
        <f aca="false">B9</f>
        <v>550</v>
      </c>
      <c r="C46" s="10"/>
      <c r="F46" s="10"/>
      <c r="H46" s="10"/>
    </row>
    <row r="47" customFormat="false" ht="12.8" hidden="false" customHeight="false" outlineLevel="0" collapsed="false">
      <c r="A47" s="14" t="s">
        <v>57</v>
      </c>
      <c r="B47" s="15" t="n">
        <f aca="false">SUM(B42:B46)</f>
        <v>769.945205479452</v>
      </c>
      <c r="C47" s="15" t="n">
        <f aca="false">SUM(C42:C46)</f>
        <v>769.945205479452</v>
      </c>
      <c r="E47" s="1" t="s">
        <v>44</v>
      </c>
      <c r="F47" s="10"/>
      <c r="G47" s="10" t="n">
        <f aca="false">C44</f>
        <v>269.945205479452</v>
      </c>
      <c r="H47" s="10" t="n">
        <f aca="false">F47-G47</f>
        <v>-269.945205479452</v>
      </c>
    </row>
    <row r="48" customFormat="false" ht="12.8" hidden="false" customHeight="false" outlineLevel="0" collapsed="false">
      <c r="E48" s="3" t="s">
        <v>58</v>
      </c>
      <c r="H48" s="6" t="n">
        <f aca="false">H43+H44</f>
        <v>1120.21917808219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3"/>
    <col collapsed="false" customWidth="false" hidden="false" outlineLevel="0" max="2" min="2" style="30" width="11.53"/>
  </cols>
  <sheetData>
    <row r="1" customFormat="false" ht="12.8" hidden="false" customHeight="false" outlineLevel="0" collapsed="false">
      <c r="A1" s="0" t="s">
        <v>86</v>
      </c>
      <c r="B1" s="30" t="s">
        <v>87</v>
      </c>
    </row>
    <row r="2" customFormat="false" ht="12.8" hidden="false" customHeight="false" outlineLevel="0" collapsed="false">
      <c r="A2" s="0" t="s">
        <v>88</v>
      </c>
      <c r="B2" s="31" t="n">
        <f aca="false">'Completo #1'!$B$2</f>
        <v>1000</v>
      </c>
    </row>
    <row r="3" customFormat="false" ht="12.8" hidden="false" customHeight="false" outlineLevel="0" collapsed="false">
      <c r="A3" s="0" t="s">
        <v>89</v>
      </c>
      <c r="B3" s="31" t="n">
        <f aca="false">'Completo #1'!$B$4</f>
        <v>125</v>
      </c>
    </row>
    <row r="4" customFormat="false" ht="12.8" hidden="false" customHeight="false" outlineLevel="0" collapsed="false">
      <c r="A4" s="0" t="s">
        <v>90</v>
      </c>
      <c r="B4" s="31" t="n">
        <f aca="false">B3</f>
        <v>125</v>
      </c>
    </row>
    <row r="7" customFormat="false" ht="12.8" hidden="false" customHeight="false" outlineLevel="0" collapsed="false">
      <c r="A7" s="0" t="s">
        <v>91</v>
      </c>
      <c r="B7" s="30" t="n">
        <v>250</v>
      </c>
    </row>
    <row r="8" customFormat="false" ht="12.8" hidden="false" customHeight="false" outlineLevel="0" collapsed="false">
      <c r="A8" s="0" t="s">
        <v>92</v>
      </c>
      <c r="B8" s="31" t="n">
        <f aca="false">'Completo #2'!$B$2</f>
        <v>2500</v>
      </c>
    </row>
    <row r="9" customFormat="false" ht="12.8" hidden="false" customHeight="false" outlineLevel="0" collapsed="false">
      <c r="A9" s="0" t="s">
        <v>93</v>
      </c>
      <c r="B9" s="31" t="n">
        <f aca="false">'Completo #2'!$B$4</f>
        <v>151.232876712329</v>
      </c>
    </row>
    <row r="10" customFormat="false" ht="12.8" hidden="false" customHeight="false" outlineLevel="0" collapsed="false">
      <c r="A10" s="0" t="s">
        <v>94</v>
      </c>
      <c r="B10" s="31" t="n">
        <f aca="false">B9</f>
        <v>151.232876712329</v>
      </c>
    </row>
    <row r="13" customFormat="false" ht="12.8" hidden="false" customHeight="false" outlineLevel="0" collapsed="false">
      <c r="A13" s="0" t="s">
        <v>95</v>
      </c>
      <c r="B13" s="30" t="s">
        <v>87</v>
      </c>
    </row>
    <row r="14" customFormat="false" ht="12.8" hidden="false" customHeight="false" outlineLevel="0" collapsed="false">
      <c r="A14" s="0" t="s">
        <v>96</v>
      </c>
      <c r="B14" s="31" t="n">
        <f aca="false">'Svalutazione #3'!$B$2</f>
        <v>1000</v>
      </c>
    </row>
    <row r="15" customFormat="false" ht="12.8" hidden="false" customHeight="false" outlineLevel="0" collapsed="false">
      <c r="A15" s="0" t="s">
        <v>97</v>
      </c>
      <c r="B15" s="31" t="n">
        <f aca="false">'Svalutazione #3'!$B$4</f>
        <v>125</v>
      </c>
    </row>
    <row r="16" customFormat="false" ht="12.8" hidden="false" customHeight="false" outlineLevel="0" collapsed="false">
      <c r="A16" s="0" t="s">
        <v>98</v>
      </c>
      <c r="B16" s="31" t="n">
        <f aca="false">B15</f>
        <v>125</v>
      </c>
    </row>
    <row r="19" customFormat="false" ht="12.8" hidden="false" customHeight="false" outlineLevel="0" collapsed="false">
      <c r="A19" s="0" t="s">
        <v>99</v>
      </c>
      <c r="B19" s="30" t="s">
        <v>87</v>
      </c>
    </row>
    <row r="20" customFormat="false" ht="12.8" hidden="false" customHeight="false" outlineLevel="0" collapsed="false">
      <c r="A20" s="0" t="s">
        <v>100</v>
      </c>
      <c r="B20" s="31" t="n">
        <f aca="false">'Parziale #4'!$B$2</f>
        <v>2500</v>
      </c>
    </row>
    <row r="21" customFormat="false" ht="12.8" hidden="false" customHeight="false" outlineLevel="0" collapsed="false">
      <c r="A21" s="0" t="s">
        <v>101</v>
      </c>
      <c r="B21" s="31" t="n">
        <f aca="false">'Parziale #4'!$B$4</f>
        <v>151.232876712329</v>
      </c>
    </row>
    <row r="22" customFormat="false" ht="12.8" hidden="false" customHeight="false" outlineLevel="0" collapsed="false">
      <c r="A22" s="0" t="s">
        <v>102</v>
      </c>
      <c r="B22" s="31" t="n">
        <f aca="false">B21</f>
        <v>151.232876712329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2022-09-16T09:15:31Z</dcterms:created>
  <dc:creator/>
  <dc:description/>
  <dc:language>it-IT</dc:language>
  <cp:lastModifiedBy/>
  <dcterms:modified xsi:type="dcterms:W3CDTF">2023-12-12T20:52:14Z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